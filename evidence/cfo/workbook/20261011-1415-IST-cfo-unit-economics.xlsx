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Unit economics by plan, month 6" sheetId="1" r:id="rId1"/>
    <sheet name="Unit economics by plan (monthly" sheetId="2" r:id="rId2"/>
    <sheet name="Gross profit and margin by plan" sheetId="3" r:id="rId3"/>
    <sheet name="Model inputs" sheetId="4" r:id="rId4"/>
    <sheet name="Export notes" sheetId="5" r:id="rId5"/>
  </sheets>
  <calcPr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#,##0.0;(#,##0.0)"/>
    <numFmt numFmtId="165" formatCode="&quot;$&quot;#,##0;(&quot;$&quot;#,##0)"/>
    <numFmt numFmtId="166" formatCode="0.0%"/>
    <numFmt numFmtId="167" formatCode="#,##0;(#,##0)"/>
    <numFmt numFmtId="168" formatCode="&quot;$&quot;#,##0.0000;(&quot;$&quot;#,##0.0000)"/>
    <numFmt numFmtId="169" formatCode="0%"/>
    <numFmt numFmtId="170" formatCode="&quot;$&quot;#,##0.00;(&quot;$&quot;#,##0.00)"/>
    <numFmt numFmtId="171" formatCode="#,##0.0000;(#,##0.000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64" fontId="0" fillId="0" borderId="0" xfId="0" applyNumberFormat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0" fontId="0" fillId="0" borderId="0" xfId="0" applyAlignment="1">
      <alignment vertical="center" horizontal="left"/>
    </xf>
    <xf numFmtId="167" fontId="0" fillId="0" borderId="0" xfId="0" applyNumberFormat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68" fontId="0" fillId="0" borderId="0" xfId="0" applyNumberFormat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70" fontId="3" fillId="4" borderId="1" xfId="0" applyNumberFormat="1" applyFill="1" applyFont="1" applyBorder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171" fontId="3" fillId="4" borderId="1" xfId="0" applyNumberFormat="1" applyFill="1" applyFont="1" applyBorder="1" applyAlignment="1">
      <alignment vertical="center" horizontal="right"/>
    </xf>
    <xf numFmtId="171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D21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Unit economics by plan, month 6 (Main vs Growth vs Downside)</t>
        </is>
      </c>
    </row>
    <row r="2" ht="20" customHeight="1">
      <c r="A2" t="inlineStr" s="2">
        <is>
          <t xml:space="preserve">Unit economics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2027-03</t>
        </is>
      </c>
      <c r="C4" t="inlineStr" s="4">
        <is>
          <t xml:space="preserve">2027-03 &gt; Growth</t>
        </is>
      </c>
      <c r="D4" t="inlineStr" s="4">
        <is>
          <t xml:space="preserve">2027-03 &gt; Downside</t>
        </is>
      </c>
    </row>
    <row r="5">
      <c r="A5" t="inlineStr" s="5">
        <is>
          <t xml:space="preserve">Ending customers</t>
        </is>
      </c>
      <c r="B5" s="6">
        <f>SUM('Unit economics by plan, month 6'!B6,'Unit economics by plan, month 6'!B7)</f>
        <v>77.51601980435</v>
      </c>
      <c r="C5" s="6">
        <f>SUM('Unit economics by plan, month 6'!C6,'Unit economics by plan, month 6'!C7)</f>
        <v>128.01571934135</v>
      </c>
      <c r="D5" s="6">
        <f>SUM('Unit economics by plan, month 6'!D6,'Unit economics by plan, month 6'!D7)</f>
        <v>60.37220791796001</v>
      </c>
    </row>
    <row r="6" outlineLevel="1">
      <c r="A6" t="inlineStr" s="7">
        <is>
          <t xml:space="preserve">Classroom</t>
        </is>
      </c>
      <c r="B6" s="8">
        <f>'Unit economics by plan (monthly'!F12+'Unit economics by plan (monthly'!G6-'Unit economics by plan (monthly'!G9</f>
        <v>13.89731988499</v>
      </c>
      <c r="C6" s="8">
        <f>'Model inputs'!G32+'Model inputs'!H83-'Model inputs'!H16</f>
        <v>25.03251955639</v>
      </c>
      <c r="D6" s="8">
        <f>'Model inputs'!G29+'Model inputs'!H80-'Model inputs'!H13</f>
        <v>12.06753479296</v>
      </c>
    </row>
    <row r="7" outlineLevel="1">
      <c r="A7" t="inlineStr" s="7">
        <is>
          <t xml:space="preserve">Household</t>
        </is>
      </c>
      <c r="B7" s="8">
        <f>'Unit economics by plan (monthly'!F13+'Unit economics by plan (monthly'!G7-'Unit economics by plan (monthly'!G10</f>
        <v>63.61869991935999</v>
      </c>
      <c r="C7" s="8">
        <f>'Model inputs'!G33+'Model inputs'!H84-'Model inputs'!H17</f>
        <v>102.98319978496</v>
      </c>
      <c r="D7" s="8">
        <f>'Model inputs'!G30+'Model inputs'!H81-'Model inputs'!H14</f>
        <v>48.30467312500001</v>
      </c>
    </row>
    <row r="8">
      <c r="A8" t="inlineStr" s="5">
        <is>
          <t xml:space="preserve">Revenue (USD)</t>
        </is>
      </c>
      <c r="B8" s="9">
        <f>SUM('Unit economics by plan, month 6'!B9,'Unit economics by plan, month 6'!B10)</f>
        <v>847.7169891010365</v>
      </c>
      <c r="C8" s="9">
        <f>SUM('Unit economics by plan, month 6'!C9,'Unit economics by plan, month 6'!C10)</f>
        <v>1445.7956336321804</v>
      </c>
      <c r="D8" s="9">
        <f>SUM('Unit economics by plan, month 6'!D9,'Unit economics by plan, month 6'!D10)</f>
        <v>687.6081741395901</v>
      </c>
    </row>
    <row r="9" outlineLevel="1">
      <c r="A9" t="inlineStr" s="7">
        <is>
          <t xml:space="preserve">Classroom</t>
        </is>
      </c>
      <c r="B9" s="10">
        <f>'Unit economics by plan (monthly'!G18+'Unit economics by plan (monthly'!G21</f>
        <v>403.02227666471003</v>
      </c>
      <c r="C9" s="10">
        <f>'Model inputs'!H117+'Model inputs'!H95</f>
        <v>725.94306713531</v>
      </c>
      <c r="D9" s="10">
        <f>'Model inputs'!H114+'Model inputs'!H92</f>
        <v>349.95850899584</v>
      </c>
    </row>
    <row r="10" outlineLevel="1">
      <c r="A10" t="inlineStr" s="7">
        <is>
          <t xml:space="preserve">Household</t>
        </is>
      </c>
      <c r="B10" s="10">
        <f>'Unit economics by plan (monthly'!G19+'Unit economics by plan (monthly'!G22</f>
        <v>444.69471243632637</v>
      </c>
      <c r="C10" s="10">
        <f>'Model inputs'!H118+'Model inputs'!H96</f>
        <v>719.8525664968704</v>
      </c>
      <c r="D10" s="10">
        <f>'Model inputs'!H115+'Model inputs'!H93</f>
        <v>337.64966514375004</v>
      </c>
    </row>
    <row r="11">
      <c r="A11" t="inlineStr" s="5">
        <is>
          <t xml:space="preserve">Infra and inference (USD)</t>
        </is>
      </c>
      <c r="B11" s="9">
        <f>SUM('Unit economics by plan, month 6'!B12,'Unit economics by plan, month 6'!B13)</f>
        <v>278.0820017904313</v>
      </c>
      <c r="C11" s="9">
        <f>SUM('Unit economics by plan, month 6'!C12,'Unit economics by plan, month 6'!C13)</f>
        <v>647.6079695395395</v>
      </c>
      <c r="D11" s="9">
        <f>SUM('Unit economics by plan, month 6'!D12,'Unit economics by plan, month 6'!D13)</f>
        <v>406.4698967582178</v>
      </c>
    </row>
    <row r="12" outlineLevel="1">
      <c r="A12" t="inlineStr" s="7">
        <is>
          <t xml:space="preserve">Classroom</t>
        </is>
      </c>
      <c r="B12" s="10">
        <f>'Unit economics by plan (monthly'!G27+'Gross profit and margin by plan'!G8</f>
        <v>175.23461756049974</v>
      </c>
      <c r="C12" s="10">
        <f>'Model inputs'!H54+'Model inputs'!H41</f>
        <v>429.3816563913608</v>
      </c>
      <c r="D12" s="10">
        <f>'Model inputs'!H51+'Model inputs'!H38</f>
        <v>270.4138999221687</v>
      </c>
    </row>
    <row r="13" outlineLevel="1">
      <c r="A13" t="inlineStr" s="7">
        <is>
          <t xml:space="preserve">Household</t>
        </is>
      </c>
      <c r="B13" s="10">
        <f>'Unit economics by plan (monthly'!G28+'Gross profit and margin by plan'!G9</f>
        <v>102.84738422993156</v>
      </c>
      <c r="C13" s="10">
        <f>'Model inputs'!H55+'Model inputs'!H42</f>
        <v>218.22631314817863</v>
      </c>
      <c r="D13" s="10">
        <f>'Model inputs'!H52+'Model inputs'!H39</f>
        <v>136.05599683604913</v>
      </c>
    </row>
    <row r="14">
      <c r="A14" t="inlineStr" s="5">
        <is>
          <t xml:space="preserve">Gross profit (USD)</t>
        </is>
      </c>
      <c r="B14" s="9">
        <f>SUM('Unit economics by plan, month 6'!B15,'Unit economics by plan, month 6'!B16)</f>
        <v>569.6349873106051</v>
      </c>
      <c r="C14" s="9">
        <f>SUM('Unit economics by plan, month 6'!C15,'Unit economics by plan, month 6'!C16)</f>
        <v>798.187664092641</v>
      </c>
      <c r="D14" s="9">
        <f>SUM('Unit economics by plan, month 6'!D15,'Unit economics by plan, month 6'!D16)</f>
        <v>281.13827738137223</v>
      </c>
    </row>
    <row r="15" outlineLevel="1">
      <c r="A15" t="inlineStr" s="7">
        <is>
          <t xml:space="preserve">Classroom</t>
        </is>
      </c>
      <c r="B15" s="10">
        <f>'Unit economics by plan, month 6'!B9-'Unit economics by plan, month 6'!B12</f>
        <v>227.7876591042103</v>
      </c>
      <c r="C15" s="10">
        <f>'Unit economics by plan, month 6'!C9-'Unit economics by plan, month 6'!C12</f>
        <v>296.5614107439492</v>
      </c>
      <c r="D15" s="10">
        <f>'Unit economics by plan, month 6'!D9-'Unit economics by plan, month 6'!D12</f>
        <v>79.54460907367132</v>
      </c>
    </row>
    <row r="16" outlineLevel="1">
      <c r="A16" t="inlineStr" s="7">
        <is>
          <t xml:space="preserve">Household</t>
        </is>
      </c>
      <c r="B16" s="10">
        <f>'Unit economics by plan, month 6'!B10-'Unit economics by plan, month 6'!B13</f>
        <v>341.8473282063948</v>
      </c>
      <c r="C16" s="10">
        <f>'Unit economics by plan, month 6'!C10-'Unit economics by plan, month 6'!C13</f>
        <v>501.62625334869176</v>
      </c>
      <c r="D16" s="10">
        <f>'Unit economics by plan, month 6'!D10-'Unit economics by plan, month 6'!D13</f>
        <v>201.5936683077009</v>
      </c>
    </row>
    <row r="17">
      <c r="A17" t="inlineStr" s="5">
        <is>
          <t xml:space="preserve">Gross margin</t>
        </is>
      </c>
      <c r="B17" s="11">
        <f>IFERROR('Unit economics by plan, month 6'!B14/'Unit economics by plan, month 6'!B8,0)</f>
        <v>0.6719636324791318</v>
      </c>
      <c r="C17" s="11">
        <f>IFERROR('Unit economics by plan, month 6'!C14/'Unit economics by plan, month 6'!C8,0)</f>
        <v>0.5520750274279117</v>
      </c>
      <c r="D17" s="11">
        <f>IFERROR('Unit economics by plan, month 6'!D14/'Unit economics by plan, month 6'!D8,0)</f>
        <v>0.4088640710723995</v>
      </c>
    </row>
    <row r="18" outlineLevel="1">
      <c r="A18" t="inlineStr" s="7">
        <is>
          <t xml:space="preserve">Classroom</t>
        </is>
      </c>
      <c r="B18" s="12">
        <f>IFERROR('Unit economics by plan, month 6'!B15/'Unit economics by plan, month 6'!B9,0)</f>
        <v>0.5651986808007532</v>
      </c>
      <c r="C18" s="12">
        <f>IFERROR('Unit economics by plan, month 6'!C15/'Unit economics by plan, month 6'!C9,0)</f>
        <v>0.40851882767367553</v>
      </c>
      <c r="D18" s="12">
        <f>IFERROR('Unit economics by plan, month 6'!D15/'Unit economics by plan, month 6'!D9,0)</f>
        <v>0.22729725675742</v>
      </c>
    </row>
    <row r="19" outlineLevel="1">
      <c r="A19" t="inlineStr" s="7">
        <is>
          <t xml:space="preserve">Household</t>
        </is>
      </c>
      <c r="B19" s="12">
        <f>IFERROR('Unit economics by plan, month 6'!B16/'Unit economics by plan, month 6'!B10,0)</f>
        <v>0.7687236179030176</v>
      </c>
      <c r="C19" s="12">
        <f>IFERROR('Unit economics by plan, month 6'!C16/'Unit economics by plan, month 6'!C10,0)</f>
        <v>0.6968458219018833</v>
      </c>
      <c r="D19" s="12">
        <f>IFERROR('Unit economics by plan, month 6'!D16/'Unit economics by plan, month 6'!D10,0)</f>
        <v>0.5970498096655152</v>
      </c>
    </row>
    <row r="20">
      <c r="A20" t="inlineStr" s="13">
        <is>
          <t xml:space="preserve">Clears gross margin bar (1 = yes)</t>
        </is>
      </c>
      <c r="B20" s="14">
        <f>IF(IF(IF(ISERROR('Unit economics by plan, month 6'!B17&gt;='Model inputs'!O34),'Unit economics by plan, month 6'!B17&gt;='Model inputs'!O34,IF(OR('Unit economics by plan, month 6'!B17="",'Model inputs'!O34=""),"",'Unit economics by plan, month 6'!B17&gt;='Model inputs'!O34))="",FALSE,IF(ISERROR('Unit economics by plan, month 6'!B17&gt;='Model inputs'!O34),'Unit economics by plan, month 6'!B17&gt;='Model inputs'!O34,IF(OR('Unit economics by plan, month 6'!B17="",'Model inputs'!O34=""),"",'Unit economics by plan, month 6'!B17&gt;='Model inputs'!O34))),1,0)</f>
        <v>1</v>
      </c>
      <c r="C20" s="14">
        <f>IF(IF(IF(ISERROR('Unit economics by plan, month 6'!C17&gt;='Model inputs'!O36),'Unit economics by plan, month 6'!C17&gt;='Model inputs'!O36,IF(OR('Unit economics by plan, month 6'!C17="",'Model inputs'!O36=""),"",'Unit economics by plan, month 6'!C17&gt;='Model inputs'!O36))="",FALSE,IF(ISERROR('Unit economics by plan, month 6'!C17&gt;='Model inputs'!O36),'Unit economics by plan, month 6'!C17&gt;='Model inputs'!O36,IF(OR('Unit economics by plan, month 6'!C17="",'Model inputs'!O36=""),"",'Unit economics by plan, month 6'!C17&gt;='Model inputs'!O36))),1,0)</f>
        <v>0</v>
      </c>
      <c r="D20" s="14">
        <f>IF(IF(IF(ISERROR('Unit economics by plan, month 6'!D17&gt;='Model inputs'!O35),'Unit economics by plan, month 6'!D17&gt;='Model inputs'!O35,IF(OR('Unit economics by plan, month 6'!D17="",'Model inputs'!O35=""),"",'Unit economics by plan, month 6'!D17&gt;='Model inputs'!O35))="",FALSE,IF(ISERROR('Unit economics by plan, month 6'!D17&gt;='Model inputs'!O35),'Unit economics by plan, month 6'!D17&gt;='Model inputs'!O35,IF(OR('Unit economics by plan, month 6'!D17="",'Model inputs'!O35=""),"",'Unit economics by plan, month 6'!D17&gt;='Model inputs'!O35))),1,0)</f>
        <v>0</v>
      </c>
    </row>
    <row r="21">
      <c r="A21" t="inlineStr" s="5">
        <is>
          <t xml:space="preserve">Runway in months (0 = not burning cash)</t>
        </is>
      </c>
      <c r="B21" s="6">
        <f>IF(IF(IF(ISERROR('Model inputs'!H70&lt;0),'Model inputs'!H70&lt;0,IF('Model inputs'!H70="","",'Model inputs'!H70&lt;0))="",FALSE,IF(ISERROR('Model inputs'!H70&lt;0),'Model inputs'!H70&lt;0,IF('Model inputs'!H70="","",'Model inputs'!H70&lt;0))),'Model inputs'!H19/-'Model inputs'!H70,0)</f>
        <v>0</v>
      </c>
      <c r="C21" s="6">
        <f>IF(IF(IF(ISERROR('Model inputs'!H72&lt;0),'Model inputs'!H72&lt;0,IF('Model inputs'!H72="","",'Model inputs'!H72&lt;0))="",FALSE,IF(ISERROR('Model inputs'!H72&lt;0),'Model inputs'!H72&lt;0,IF('Model inputs'!H72="","",'Model inputs'!H72&lt;0))),'Model inputs'!H21/-'Model inputs'!H72,0)</f>
        <v>0</v>
      </c>
      <c r="D21" s="6">
        <f>IF(IF(IF(ISERROR('Model inputs'!H71&lt;0),'Model inputs'!H71&lt;0,IF('Model inputs'!H71="","",'Model inputs'!H71&lt;0))="",FALSE,IF(ISERROR('Model inputs'!H71&lt;0),'Model inputs'!H71&lt;0,IF('Model inputs'!H71="","",'Model inputs'!H71&lt;0))),'Model inputs'!H20/-'Model inputs'!H71,0)</f>
        <v>0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>
  <dimension ref="A1:M2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Unit economics by plan (monthly)</t>
        </is>
      </c>
    </row>
    <row r="2" ht="20" customHeight="1">
      <c r="A2" t="inlineStr" s="2">
        <is>
          <t xml:space="preserve">Unit economics · Main Scenario</t>
        </is>
      </c>
    </row>
    <row r="4" ht="22" customHeight="1">
      <c r="A4" t="inlineStr" s="3">
        <is>
          <t xml:space="preserve">Variable / dimension</t>
        </is>
      </c>
      <c r="B4" t="inlineStr" s="15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5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5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5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</row>
    <row r="5">
      <c r="A5" t="inlineStr" s="5">
        <is>
          <t xml:space="preserve">New customers</t>
        </is>
      </c>
      <c r="B5" s="6">
        <f>SUM('Unit economics by plan (monthly'!B6,'Unit economics by plan (monthly'!B7)</f>
        <v>9</v>
      </c>
      <c r="C5" s="6">
        <f>SUM('Unit economics by plan (monthly'!C6,'Unit economics by plan (monthly'!C7)</f>
        <v>9</v>
      </c>
      <c r="D5" s="6">
        <f>SUM('Unit economics by plan (monthly'!D6,'Unit economics by plan (monthly'!D7)</f>
        <v>9</v>
      </c>
      <c r="E5" s="6">
        <f>SUM('Unit economics by plan (monthly'!E6,'Unit economics by plan (monthly'!E7)</f>
        <v>9</v>
      </c>
      <c r="F5" s="6">
        <f>SUM('Unit economics by plan (monthly'!F6,'Unit economics by plan (monthly'!F7)</f>
        <v>9</v>
      </c>
      <c r="G5" s="6">
        <f>SUM('Unit economics by plan (monthly'!G6,'Unit economics by plan (monthly'!G7)</f>
        <v>9</v>
      </c>
      <c r="H5" s="6">
        <f>SUM('Unit economics by plan (monthly'!H6,'Unit economics by plan (monthly'!H7)</f>
        <v>9</v>
      </c>
      <c r="I5" s="6">
        <f>SUM('Unit economics by plan (monthly'!I6,'Unit economics by plan (monthly'!I7)</f>
        <v>9</v>
      </c>
      <c r="J5" s="6">
        <f>SUM('Unit economics by plan (monthly'!J6,'Unit economics by plan (monthly'!J7)</f>
        <v>9</v>
      </c>
      <c r="K5" s="6">
        <f>SUM('Unit economics by plan (monthly'!K6,'Unit economics by plan (monthly'!K7)</f>
        <v>9</v>
      </c>
      <c r="L5" s="6">
        <f>SUM('Unit economics by plan (monthly'!L6,'Unit economics by plan (monthly'!L7)</f>
        <v>9</v>
      </c>
      <c r="M5" s="6">
        <f>SUM('Unit economics by plan (monthly'!M6,'Unit economics by plan (monthly'!M7)</f>
        <v>9</v>
      </c>
    </row>
    <row r="6" outlineLevel="1">
      <c r="A6" t="inlineStr" s="7">
        <is>
          <t xml:space="preserve">Classroom</t>
        </is>
      </c>
      <c r="B6" s="8">
        <f>IF('Model inputs'!O86="","",'Model inputs'!O86)</f>
        <v>1</v>
      </c>
      <c r="C6" s="8">
        <f>IF('Model inputs'!O86="","",'Model inputs'!O86)</f>
        <v>1</v>
      </c>
      <c r="D6" s="8">
        <f>IF('Model inputs'!O86="","",'Model inputs'!O86)</f>
        <v>1</v>
      </c>
      <c r="E6" s="8">
        <f>IF('Model inputs'!O86="","",'Model inputs'!O86)</f>
        <v>1</v>
      </c>
      <c r="F6" s="8">
        <f>IF('Model inputs'!O86="","",'Model inputs'!O86)</f>
        <v>1</v>
      </c>
      <c r="G6" s="8">
        <f>IF('Model inputs'!O86="","",'Model inputs'!O86)</f>
        <v>1</v>
      </c>
      <c r="H6" s="8">
        <f>IF('Model inputs'!O86="","",'Model inputs'!O86)</f>
        <v>1</v>
      </c>
      <c r="I6" s="8">
        <f>IF('Model inputs'!O86="","",'Model inputs'!O86)</f>
        <v>1</v>
      </c>
      <c r="J6" s="8">
        <f>IF('Model inputs'!O86="","",'Model inputs'!O86)</f>
        <v>1</v>
      </c>
      <c r="K6" s="8">
        <f>IF('Model inputs'!O86="","",'Model inputs'!O86)</f>
        <v>1</v>
      </c>
      <c r="L6" s="8">
        <f>IF('Model inputs'!O86="","",'Model inputs'!O86)</f>
        <v>1</v>
      </c>
      <c r="M6" s="8">
        <f>IF('Model inputs'!O86="","",'Model inputs'!O86)</f>
        <v>1</v>
      </c>
    </row>
    <row r="7" outlineLevel="1">
      <c r="A7" t="inlineStr" s="7">
        <is>
          <t xml:space="preserve">Household</t>
        </is>
      </c>
      <c r="B7" s="8">
        <f>IF('Model inputs'!O87="","",'Model inputs'!O87)</f>
        <v>8</v>
      </c>
      <c r="C7" s="8">
        <f>IF('Model inputs'!O87="","",'Model inputs'!O87)</f>
        <v>8</v>
      </c>
      <c r="D7" s="8">
        <f>IF('Model inputs'!O87="","",'Model inputs'!O87)</f>
        <v>8</v>
      </c>
      <c r="E7" s="8">
        <f>IF('Model inputs'!O87="","",'Model inputs'!O87)</f>
        <v>8</v>
      </c>
      <c r="F7" s="8">
        <f>IF('Model inputs'!O87="","",'Model inputs'!O87)</f>
        <v>8</v>
      </c>
      <c r="G7" s="8">
        <f>IF('Model inputs'!O87="","",'Model inputs'!O87)</f>
        <v>8</v>
      </c>
      <c r="H7" s="8">
        <f>IF('Model inputs'!O87="","",'Model inputs'!O87)</f>
        <v>8</v>
      </c>
      <c r="I7" s="8">
        <f>IF('Model inputs'!O87="","",'Model inputs'!O87)</f>
        <v>8</v>
      </c>
      <c r="J7" s="8">
        <f>IF('Model inputs'!O87="","",'Model inputs'!O87)</f>
        <v>8</v>
      </c>
      <c r="K7" s="8">
        <f>IF('Model inputs'!O87="","",'Model inputs'!O87)</f>
        <v>8</v>
      </c>
      <c r="L7" s="8">
        <f>IF('Model inputs'!O87="","",'Model inputs'!O87)</f>
        <v>8</v>
      </c>
      <c r="M7" s="8">
        <f>IF('Model inputs'!O87="","",'Model inputs'!O87)</f>
        <v>8</v>
      </c>
    </row>
    <row r="8">
      <c r="A8" t="inlineStr" s="5">
        <is>
          <t xml:space="preserve">Churned customers</t>
        </is>
      </c>
      <c r="B8" s="6">
        <f>SUM('Unit economics by plan (monthly'!B9,'Unit economics by plan (monthly'!B10)</f>
        <v>3.5</v>
      </c>
      <c r="C8" s="6">
        <f>SUM('Unit economics by plan (monthly'!C9,'Unit economics by plan (monthly'!C10)</f>
        <v>3.9049999999999994</v>
      </c>
      <c r="D8" s="6">
        <f>SUM('Unit economics by plan (monthly'!D9,'Unit economics by plan (monthly'!D10)</f>
        <v>4.278649999999999</v>
      </c>
      <c r="E8" s="6">
        <f>SUM('Unit economics by plan (monthly'!E9,'Unit economics by plan (monthly'!E10)</f>
        <v>4.623426499999999</v>
      </c>
      <c r="F8" s="6">
        <f>SUM('Unit economics by plan (monthly'!F9,'Unit economics by plan (monthly'!F10)</f>
        <v>4.941608825</v>
      </c>
      <c r="G8" s="6">
        <f>SUM('Unit economics by plan (monthly'!G9,'Unit economics by plan (monthly'!G10)</f>
        <v>5.23529487065</v>
      </c>
      <c r="H8" s="6">
        <f>SUM('Unit economics by plan (monthly'!H9,'Unit economics by plan (monthly'!H10)</f>
        <v>5.5064155900984995</v>
      </c>
      <c r="I8" s="6">
        <f>SUM('Unit economics by plan (monthly'!I9,'Unit economics by plan (monthly'!I10)</f>
        <v>5.756748322718104</v>
      </c>
      <c r="J8" s="6">
        <f>SUM('Unit economics by plan (monthly'!J9,'Unit economics by plan (monthly'!J10)</f>
        <v>5.987929057333316</v>
      </c>
      <c r="K8" s="6">
        <f>SUM('Unit economics by plan (monthly'!K9,'Unit economics by plan (monthly'!K10)</f>
        <v>6.201463715166331</v>
      </c>
      <c r="L8" s="6">
        <f>SUM('Unit economics by plan (monthly'!L9,'Unit economics by plan (monthly'!L10)</f>
        <v>6.398738530900115</v>
      </c>
      <c r="M8" s="6">
        <f>SUM('Unit economics by plan (monthly'!M9,'Unit economics by plan (monthly'!M10)</f>
        <v>6.581029603986783</v>
      </c>
    </row>
    <row r="9" outlineLevel="1">
      <c r="A9" t="inlineStr" s="7">
        <is>
          <t xml:space="preserve">Classroom</t>
        </is>
      </c>
      <c r="B9" s="8">
        <f>'Model inputs'!B23*'Model inputs'!O63</f>
        <v>0.3</v>
      </c>
      <c r="C9" s="8">
        <f>'Unit economics by plan (monthly'!B12*'Model inputs'!O63</f>
        <v>0.32099999999999995</v>
      </c>
      <c r="D9" s="8">
        <f>'Unit economics by plan (monthly'!C12*'Model inputs'!O63</f>
        <v>0.34136999999999995</v>
      </c>
      <c r="E9" s="8">
        <f>'Unit economics by plan (monthly'!D12*'Model inputs'!O63</f>
        <v>0.3611289</v>
      </c>
      <c r="F9" s="8">
        <f>'Unit economics by plan (monthly'!E12*'Model inputs'!O63</f>
        <v>0.38029503299999995</v>
      </c>
      <c r="G9" s="8">
        <f>'Unit economics by plan (monthly'!F12*'Model inputs'!O63</f>
        <v>0.39888618201</v>
      </c>
      <c r="H9" s="8">
        <f>'Unit economics by plan (monthly'!G12*'Model inputs'!O63</f>
        <v>0.4169195965497</v>
      </c>
      <c r="I9" s="8">
        <f>'Unit economics by plan (monthly'!H12*'Model inputs'!O63</f>
        <v>0.434412008653209</v>
      </c>
      <c r="J9" s="8">
        <f>'Unit economics by plan (monthly'!I12*'Model inputs'!O63</f>
        <v>0.4513796483936127</v>
      </c>
      <c r="K9" s="8">
        <f>'Unit economics by plan (monthly'!J12*'Model inputs'!O63</f>
        <v>0.4678382589418043</v>
      </c>
      <c r="L9" s="8">
        <f>'Unit economics by plan (monthly'!K12*'Model inputs'!O63</f>
        <v>0.4838031111735502</v>
      </c>
      <c r="M9" s="8">
        <f>'Unit economics by plan (monthly'!L12*'Model inputs'!O63</f>
        <v>0.4992890178383437</v>
      </c>
    </row>
    <row r="10" outlineLevel="1">
      <c r="A10" t="inlineStr" s="7">
        <is>
          <t xml:space="preserve">Household</t>
        </is>
      </c>
      <c r="B10" s="8">
        <f>'Model inputs'!B24*'Model inputs'!O64</f>
        <v>3.2</v>
      </c>
      <c r="C10" s="8">
        <f>'Unit economics by plan (monthly'!B13*'Model inputs'!O64</f>
        <v>3.5839999999999996</v>
      </c>
      <c r="D10" s="8">
        <f>'Unit economics by plan (monthly'!C13*'Model inputs'!O64</f>
        <v>3.9372799999999994</v>
      </c>
      <c r="E10" s="8">
        <f>'Unit economics by plan (monthly'!D13*'Model inputs'!O64</f>
        <v>4.262297599999999</v>
      </c>
      <c r="F10" s="8">
        <f>'Unit economics by plan (monthly'!E13*'Model inputs'!O64</f>
        <v>4.561313792</v>
      </c>
      <c r="G10" s="8">
        <f>'Unit economics by plan (monthly'!F13*'Model inputs'!O64</f>
        <v>4.83640868864</v>
      </c>
      <c r="H10" s="8">
        <f>'Unit economics by plan (monthly'!G13*'Model inputs'!O64</f>
        <v>5.089495993548799</v>
      </c>
      <c r="I10" s="8">
        <f>'Unit economics by plan (monthly'!H13*'Model inputs'!O64</f>
        <v>5.322336314064895</v>
      </c>
      <c r="J10" s="8">
        <f>'Unit economics by plan (monthly'!I13*'Model inputs'!O64</f>
        <v>5.536549408939703</v>
      </c>
      <c r="K10" s="8">
        <f>'Unit economics by plan (monthly'!J13*'Model inputs'!O64</f>
        <v>5.733625456224527</v>
      </c>
      <c r="L10" s="8">
        <f>'Unit economics by plan (monthly'!K13*'Model inputs'!O64</f>
        <v>5.9149354197265644</v>
      </c>
      <c r="M10" s="8">
        <f>'Unit economics by plan (monthly'!L13*'Model inputs'!O64</f>
        <v>6.08174058614844</v>
      </c>
    </row>
    <row r="11">
      <c r="A11" t="inlineStr" s="5">
        <is>
          <t xml:space="preserve">Ending customers</t>
        </is>
      </c>
      <c r="B11" s="6">
        <f>SUM('Unit economics by plan (monthly'!B12,'Unit economics by plan (monthly'!B13)</f>
        <v>55.5</v>
      </c>
      <c r="C11" s="6">
        <f>SUM('Unit economics by plan (monthly'!C12,'Unit economics by plan (monthly'!C13)</f>
        <v>60.59499999999999</v>
      </c>
      <c r="D11" s="6">
        <f>SUM('Unit economics by plan (monthly'!D12,'Unit economics by plan (monthly'!D13)</f>
        <v>65.31635</v>
      </c>
      <c r="E11" s="6">
        <f>SUM('Unit economics by plan (monthly'!E12,'Unit economics by plan (monthly'!E13)</f>
        <v>69.69292349999999</v>
      </c>
      <c r="F11" s="6">
        <f>SUM('Unit economics by plan (monthly'!F12,'Unit economics by plan (monthly'!F13)</f>
        <v>73.751314675</v>
      </c>
      <c r="G11" s="6">
        <f>SUM('Unit economics by plan (monthly'!G12,'Unit economics by plan (monthly'!G13)</f>
        <v>77.51601980435</v>
      </c>
      <c r="H11" s="6">
        <f>SUM('Unit economics by plan (monthly'!H12,'Unit economics by plan (monthly'!H13)</f>
        <v>81.00960421425148</v>
      </c>
      <c r="I11" s="6">
        <f>SUM('Unit economics by plan (monthly'!I12,'Unit economics by plan (monthly'!I13)</f>
        <v>84.25285589153339</v>
      </c>
      <c r="J11" s="6">
        <f>SUM('Unit economics by plan (monthly'!J12,'Unit economics by plan (monthly'!J13)</f>
        <v>87.26492683420005</v>
      </c>
      <c r="K11" s="6">
        <f>SUM('Unit economics by plan (monthly'!K12,'Unit economics by plan (monthly'!K13)</f>
        <v>90.06346311903373</v>
      </c>
      <c r="L11" s="6">
        <f>SUM('Unit economics by plan (monthly'!L12,'Unit economics by plan (monthly'!L13)</f>
        <v>92.66472458813362</v>
      </c>
      <c r="M11" s="6">
        <f>SUM('Unit economics by plan (monthly'!M12,'Unit economics by plan (monthly'!M13)</f>
        <v>95.08369498414683</v>
      </c>
    </row>
    <row r="12" outlineLevel="1">
      <c r="A12" t="inlineStr" s="7">
        <is>
          <t xml:space="preserve">Classroom</t>
        </is>
      </c>
      <c r="B12" s="8">
        <f>'Model inputs'!B23+'Unit economics by plan (monthly'!B6-'Unit economics by plan (monthly'!B9</f>
        <v>10.7</v>
      </c>
      <c r="C12" s="8">
        <f>'Unit economics by plan (monthly'!B12+'Unit economics by plan (monthly'!C6-'Unit economics by plan (monthly'!C9</f>
        <v>11.379</v>
      </c>
      <c r="D12" s="8">
        <f>'Unit economics by plan (monthly'!C12+'Unit economics by plan (monthly'!D6-'Unit economics by plan (monthly'!D9</f>
        <v>12.03763</v>
      </c>
      <c r="E12" s="8">
        <f>'Unit economics by plan (monthly'!D12+'Unit economics by plan (monthly'!E6-'Unit economics by plan (monthly'!E9</f>
        <v>12.6765011</v>
      </c>
      <c r="F12" s="8">
        <f>'Unit economics by plan (monthly'!E12+'Unit economics by plan (monthly'!F6-'Unit economics by plan (monthly'!F9</f>
        <v>13.296206067</v>
      </c>
      <c r="G12" s="8">
        <f>'Unit economics by plan (monthly'!F12+'Unit economics by plan (monthly'!G6-'Unit economics by plan (monthly'!G9</f>
        <v>13.89731988499</v>
      </c>
      <c r="H12" s="8">
        <f>'Unit economics by plan (monthly'!G12+'Unit economics by plan (monthly'!H6-'Unit economics by plan (monthly'!H9</f>
        <v>14.4804002884403</v>
      </c>
      <c r="I12" s="8">
        <f>'Unit economics by plan (monthly'!H12+'Unit economics by plan (monthly'!I6-'Unit economics by plan (monthly'!I9</f>
        <v>15.04598827978709</v>
      </c>
      <c r="J12" s="8">
        <f>'Unit economics by plan (monthly'!I12+'Unit economics by plan (monthly'!J6-'Unit economics by plan (monthly'!J9</f>
        <v>15.594608631393477</v>
      </c>
      <c r="K12" s="8">
        <f>'Unit economics by plan (monthly'!J12+'Unit economics by plan (monthly'!K6-'Unit economics by plan (monthly'!K9</f>
        <v>16.126770372451674</v>
      </c>
      <c r="L12" s="8">
        <f>'Unit economics by plan (monthly'!K12+'Unit economics by plan (monthly'!L6-'Unit economics by plan (monthly'!L9</f>
        <v>16.642967261278123</v>
      </c>
      <c r="M12" s="8">
        <f>'Unit economics by plan (monthly'!L12+'Unit economics by plan (monthly'!M6-'Unit economics by plan (monthly'!M9</f>
        <v>17.14367824343978</v>
      </c>
    </row>
    <row r="13" outlineLevel="1">
      <c r="A13" t="inlineStr" s="7">
        <is>
          <t xml:space="preserve">Household</t>
        </is>
      </c>
      <c r="B13" s="8">
        <f>'Model inputs'!B24+'Unit economics by plan (monthly'!B7-'Unit economics by plan (monthly'!B10</f>
        <v>44.8</v>
      </c>
      <c r="C13" s="8">
        <f>'Unit economics by plan (monthly'!B13+'Unit economics by plan (monthly'!C7-'Unit economics by plan (monthly'!C10</f>
        <v>49.215999999999994</v>
      </c>
      <c r="D13" s="8">
        <f>'Unit economics by plan (monthly'!C13+'Unit economics by plan (monthly'!D7-'Unit economics by plan (monthly'!D10</f>
        <v>53.27871999999999</v>
      </c>
      <c r="E13" s="8">
        <f>'Unit economics by plan (monthly'!D13+'Unit economics by plan (monthly'!E7-'Unit economics by plan (monthly'!E10</f>
        <v>57.016422399999996</v>
      </c>
      <c r="F13" s="8">
        <f>'Unit economics by plan (monthly'!E13+'Unit economics by plan (monthly'!F7-'Unit economics by plan (monthly'!F10</f>
        <v>60.455108607999996</v>
      </c>
      <c r="G13" s="8">
        <f>'Unit economics by plan (monthly'!F13+'Unit economics by plan (monthly'!G7-'Unit economics by plan (monthly'!G10</f>
        <v>63.61869991935999</v>
      </c>
      <c r="H13" s="8">
        <f>'Unit economics by plan (monthly'!G13+'Unit economics by plan (monthly'!H7-'Unit economics by plan (monthly'!H10</f>
        <v>66.52920392581119</v>
      </c>
      <c r="I13" s="8">
        <f>'Unit economics by plan (monthly'!H13+'Unit economics by plan (monthly'!I7-'Unit economics by plan (monthly'!I10</f>
        <v>69.20686761174629</v>
      </c>
      <c r="J13" s="8">
        <f>'Unit economics by plan (monthly'!I13+'Unit economics by plan (monthly'!J7-'Unit economics by plan (monthly'!J10</f>
        <v>71.67031820280658</v>
      </c>
      <c r="K13" s="8">
        <f>'Unit economics by plan (monthly'!J13+'Unit economics by plan (monthly'!K7-'Unit economics by plan (monthly'!K10</f>
        <v>73.93669274658205</v>
      </c>
      <c r="L13" s="8">
        <f>'Unit economics by plan (monthly'!K13+'Unit economics by plan (monthly'!L7-'Unit economics by plan (monthly'!L10</f>
        <v>76.0217573268555</v>
      </c>
      <c r="M13" s="8">
        <f>'Unit economics by plan (monthly'!L13+'Unit economics by plan (monthly'!M7-'Unit economics by plan (monthly'!M10</f>
        <v>77.94001674070705</v>
      </c>
    </row>
    <row r="14">
      <c r="A14" t="inlineStr" s="5">
        <is>
          <t xml:space="preserve">Stories delivered</t>
        </is>
      </c>
      <c r="B14" s="16">
        <f>SUM('Unit economics by plan (monthly'!B15,'Unit economics by plan (monthly'!B16)</f>
        <v>964.56</v>
      </c>
      <c r="C14" s="16">
        <f>SUM('Unit economics by plan (monthly'!C15,'Unit economics by plan (monthly'!C16)</f>
        <v>1037.0952</v>
      </c>
      <c r="D14" s="16">
        <f>SUM('Unit economics by plan (monthly'!D15,'Unit economics by plan (monthly'!D16)</f>
        <v>1105.864584</v>
      </c>
      <c r="E14" s="16">
        <f>SUM('Unit economics by plan (monthly'!E15,'Unit economics by plan (monthly'!E16)</f>
        <v>1171.10830728</v>
      </c>
      <c r="F14" s="16">
        <f>SUM('Unit economics by plan (monthly'!F15,'Unit economics by plan (monthly'!F16)</f>
        <v>1233.0491459976</v>
      </c>
      <c r="G14" s="16">
        <f>SUM('Unit economics by plan (monthly'!G15,'Unit economics by plan (monthly'!G16)</f>
        <v>1291.893832518792</v>
      </c>
      <c r="H14" s="16">
        <f>SUM('Unit economics by plan (monthly'!H15,'Unit economics by plan (monthly'!H16)</f>
        <v>1347.8342855722585</v>
      </c>
      <c r="I14" s="16">
        <f>SUM('Unit economics by plan (monthly'!I15,'Unit economics by plan (monthly'!I16)</f>
        <v>1401.0487435917987</v>
      </c>
      <c r="J14" s="16">
        <f>SUM('Unit economics by plan (monthly'!J15,'Unit economics by plan (monthly'!J16)</f>
        <v>1451.7028089438159</v>
      </c>
      <c r="K14" s="16">
        <f>SUM('Unit economics by plan (monthly'!K15,'Unit economics by plan (monthly'!K16)</f>
        <v>1499.9504101224911</v>
      </c>
      <c r="L14" s="16">
        <f>SUM('Unit economics by plan (monthly'!L15,'Unit economics by plan (monthly'!L16)</f>
        <v>1545.934688430047</v>
      </c>
      <c r="M14" s="16">
        <f>SUM('Unit economics by plan (monthly'!M15,'Unit economics by plan (monthly'!M16)</f>
        <v>1589.7888151394773</v>
      </c>
    </row>
    <row r="15" outlineLevel="1">
      <c r="A15" t="inlineStr" s="7">
        <is>
          <t xml:space="preserve">Classroom</t>
        </is>
      </c>
      <c r="B15" s="14">
        <f>'Unit economics by plan (monthly'!B12*'Model inputs'!O111</f>
        <v>642</v>
      </c>
      <c r="C15" s="14">
        <f>'Unit economics by plan (monthly'!C12*'Model inputs'!O111</f>
        <v>682.74</v>
      </c>
      <c r="D15" s="14">
        <f>'Unit economics by plan (monthly'!D12*'Model inputs'!O111</f>
        <v>722.2578</v>
      </c>
      <c r="E15" s="14">
        <f>'Unit economics by plan (monthly'!E12*'Model inputs'!O111</f>
        <v>760.590066</v>
      </c>
      <c r="F15" s="14">
        <f>'Unit economics by plan (monthly'!F12*'Model inputs'!O111</f>
        <v>797.7723640199999</v>
      </c>
      <c r="G15" s="14">
        <f>'Unit economics by plan (monthly'!G12*'Model inputs'!O111</f>
        <v>833.8391930994001</v>
      </c>
      <c r="H15" s="14">
        <f>'Unit economics by plan (monthly'!H12*'Model inputs'!O111</f>
        <v>868.824017306418</v>
      </c>
      <c r="I15" s="14">
        <f>'Unit economics by plan (monthly'!I12*'Model inputs'!O111</f>
        <v>902.7592967872255</v>
      </c>
      <c r="J15" s="14">
        <f>'Unit economics by plan (monthly'!J12*'Model inputs'!O111</f>
        <v>935.6765178836087</v>
      </c>
      <c r="K15" s="14">
        <f>'Unit economics by plan (monthly'!K12*'Model inputs'!O111</f>
        <v>967.6062223471004</v>
      </c>
      <c r="L15" s="14">
        <f>'Unit economics by plan (monthly'!L12*'Model inputs'!O111</f>
        <v>998.5780356766874</v>
      </c>
      <c r="M15" s="14">
        <f>'Unit economics by plan (monthly'!M12*'Model inputs'!O111</f>
        <v>1028.6206946063867</v>
      </c>
    </row>
    <row r="16" outlineLevel="1">
      <c r="A16" t="inlineStr" s="7">
        <is>
          <t xml:space="preserve">Household</t>
        </is>
      </c>
      <c r="B16" s="14">
        <f>'Unit economics by plan (monthly'!B13*'Model inputs'!O112</f>
        <v>322.55999999999995</v>
      </c>
      <c r="C16" s="14">
        <f>'Unit economics by plan (monthly'!C13*'Model inputs'!O112</f>
        <v>354.3551999999999</v>
      </c>
      <c r="D16" s="14">
        <f>'Unit economics by plan (monthly'!D13*'Model inputs'!O112</f>
        <v>383.6067839999999</v>
      </c>
      <c r="E16" s="14">
        <f>'Unit economics by plan (monthly'!E13*'Model inputs'!O112</f>
        <v>410.5182412799999</v>
      </c>
      <c r="F16" s="14">
        <f>'Unit economics by plan (monthly'!F13*'Model inputs'!O112</f>
        <v>435.2767819775999</v>
      </c>
      <c r="G16" s="14">
        <f>'Unit economics by plan (monthly'!G13*'Model inputs'!O112</f>
        <v>458.0546394193919</v>
      </c>
      <c r="H16" s="14">
        <f>'Unit economics by plan (monthly'!H13*'Model inputs'!O112</f>
        <v>479.0102682658405</v>
      </c>
      <c r="I16" s="14">
        <f>'Unit economics by plan (monthly'!I13*'Model inputs'!O112</f>
        <v>498.28944680457323</v>
      </c>
      <c r="J16" s="14">
        <f>'Unit economics by plan (monthly'!J13*'Model inputs'!O112</f>
        <v>516.0262910602073</v>
      </c>
      <c r="K16" s="14">
        <f>'Unit economics by plan (monthly'!K13*'Model inputs'!O112</f>
        <v>532.3441877753908</v>
      </c>
      <c r="L16" s="14">
        <f>'Unit economics by plan (monthly'!L13*'Model inputs'!O112</f>
        <v>547.3566527533595</v>
      </c>
      <c r="M16" s="14">
        <f>'Unit economics by plan (monthly'!M13*'Model inputs'!O112</f>
        <v>561.1681205330907</v>
      </c>
    </row>
    <row r="17">
      <c r="A17" t="inlineStr" s="5">
        <is>
          <t xml:space="preserve">Subscription revenue (USD)</t>
        </is>
      </c>
      <c r="B17" s="9">
        <f>SUM('Unit economics by plan (monthly'!B18,'Unit economics by plan (monthly'!B19)</f>
        <v>623.452</v>
      </c>
      <c r="C17" s="9">
        <f>SUM('Unit economics by plan (monthly'!C18,'Unit economics by plan (monthly'!C19)</f>
        <v>674.0108399999999</v>
      </c>
      <c r="D17" s="9">
        <f>SUM('Unit economics by plan (monthly'!D18,'Unit economics by plan (monthly'!D19)</f>
        <v>721.5095228</v>
      </c>
      <c r="E17" s="9">
        <f>SUM('Unit economics by plan (monthly'!E18,'Unit economics by plan (monthly'!E19)</f>
        <v>766.163324476</v>
      </c>
      <c r="F17" s="9">
        <f>SUM('Unit economics by plan (monthly'!F18,'Unit economics by plan (monthly'!F19)</f>
        <v>808.17118511292</v>
      </c>
      <c r="G17" s="9">
        <f>SUM('Unit economics by plan (monthly'!G18,'Unit economics by plan (monthly'!G19)</f>
        <v>847.7169891010365</v>
      </c>
      <c r="H17" s="9">
        <f>SUM('Unit economics by plan (monthly'!H18,'Unit economics by plan (monthly'!H19)</f>
        <v>884.9707438061889</v>
      </c>
      <c r="I17" s="9">
        <f>SUM('Unit economics by plan (monthly'!I18,'Unit economics by plan (monthly'!I19)</f>
        <v>920.0896647199322</v>
      </c>
      <c r="J17" s="9">
        <f>SUM('Unit economics by plan (monthly'!J18,'Unit economics by plan (monthly'!J19)</f>
        <v>953.2191745480288</v>
      </c>
      <c r="K17" s="9">
        <f>SUM('Unit economics by plan (monthly'!K18,'Unit economics by plan (monthly'!K19)</f>
        <v>984.493823099707</v>
      </c>
      <c r="L17" s="9">
        <f>SUM('Unit economics by plan (monthly'!L18,'Unit economics by plan (monthly'!L19)</f>
        <v>1014.0381342917855</v>
      </c>
      <c r="M17" s="9">
        <f>SUM('Unit economics by plan (monthly'!M18,'Unit economics by plan (monthly'!M19)</f>
        <v>1041.967386077296</v>
      </c>
    </row>
    <row r="18" outlineLevel="1">
      <c r="A18" t="inlineStr" s="7">
        <is>
          <t xml:space="preserve">Classroom</t>
        </is>
      </c>
      <c r="B18" s="10">
        <f>'Unit economics by plan (monthly'!B12*'Model inputs'!O104</f>
        <v>310.29999999999995</v>
      </c>
      <c r="C18" s="10">
        <f>'Unit economics by plan (monthly'!C12*'Model inputs'!O104</f>
        <v>329.991</v>
      </c>
      <c r="D18" s="10">
        <f>'Unit economics by plan (monthly'!D12*'Model inputs'!O104</f>
        <v>349.09127</v>
      </c>
      <c r="E18" s="10">
        <f>'Unit economics by plan (monthly'!E12*'Model inputs'!O104</f>
        <v>367.6185319</v>
      </c>
      <c r="F18" s="10">
        <f>'Unit economics by plan (monthly'!F12*'Model inputs'!O104</f>
        <v>385.589975943</v>
      </c>
      <c r="G18" s="10">
        <f>'Unit economics by plan (monthly'!G12*'Model inputs'!O104</f>
        <v>403.02227666471003</v>
      </c>
      <c r="H18" s="10">
        <f>'Unit economics by plan (monthly'!H12*'Model inputs'!O104</f>
        <v>419.9316083647687</v>
      </c>
      <c r="I18" s="10">
        <f>'Unit economics by plan (monthly'!I12*'Model inputs'!O104</f>
        <v>436.33366011382566</v>
      </c>
      <c r="J18" s="10">
        <f>'Unit economics by plan (monthly'!J12*'Model inputs'!O104</f>
        <v>452.2436503104108</v>
      </c>
      <c r="K18" s="10">
        <f>'Unit economics by plan (monthly'!K12*'Model inputs'!O104</f>
        <v>467.67634080109855</v>
      </c>
      <c r="L18" s="10">
        <f>'Unit economics by plan (monthly'!L12*'Model inputs'!O104</f>
        <v>482.6460505770656</v>
      </c>
      <c r="M18" s="10">
        <f>'Unit economics by plan (monthly'!M12*'Model inputs'!O104</f>
        <v>497.16666905975364</v>
      </c>
    </row>
    <row r="19" outlineLevel="1">
      <c r="A19" t="inlineStr" s="7">
        <is>
          <t xml:space="preserve">Household</t>
        </is>
      </c>
      <c r="B19" s="10">
        <f>'Unit economics by plan (monthly'!B13*'Model inputs'!O105</f>
        <v>313.152</v>
      </c>
      <c r="C19" s="10">
        <f>'Unit economics by plan (monthly'!C13*'Model inputs'!O105</f>
        <v>344.01984</v>
      </c>
      <c r="D19" s="10">
        <f>'Unit economics by plan (monthly'!D13*'Model inputs'!O105</f>
        <v>372.41825279999995</v>
      </c>
      <c r="E19" s="10">
        <f>'Unit economics by plan (monthly'!E13*'Model inputs'!O105</f>
        <v>398.54479257599996</v>
      </c>
      <c r="F19" s="10">
        <f>'Unit economics by plan (monthly'!F13*'Model inputs'!O105</f>
        <v>422.58120916992</v>
      </c>
      <c r="G19" s="10">
        <f>'Unit economics by plan (monthly'!G13*'Model inputs'!O105</f>
        <v>444.69471243632637</v>
      </c>
      <c r="H19" s="10">
        <f>'Unit economics by plan (monthly'!H13*'Model inputs'!O105</f>
        <v>465.0391354414202</v>
      </c>
      <c r="I19" s="10">
        <f>'Unit economics by plan (monthly'!I13*'Model inputs'!O105</f>
        <v>483.75600460610656</v>
      </c>
      <c r="J19" s="10">
        <f>'Unit economics by plan (monthly'!J13*'Model inputs'!O105</f>
        <v>500.97552423761806</v>
      </c>
      <c r="K19" s="10">
        <f>'Unit economics by plan (monthly'!K13*'Model inputs'!O105</f>
        <v>516.8174822986085</v>
      </c>
      <c r="L19" s="10">
        <f>'Unit economics by plan (monthly'!L13*'Model inputs'!O105</f>
        <v>531.3920837147199</v>
      </c>
      <c r="M19" s="10">
        <f>'Unit economics by plan (monthly'!M13*'Model inputs'!O105</f>
        <v>544.8007170175423</v>
      </c>
    </row>
    <row r="20">
      <c r="A20" t="inlineStr" s="5">
        <is>
          <t xml:space="preserve">Overage revenue (USD)</t>
        </is>
      </c>
      <c r="B20" s="9">
        <f>SUM('Unit economics by plan (monthly'!B21,'Unit economics by plan (monthly'!B22)</f>
        <v>0</v>
      </c>
      <c r="C20" s="9">
        <f>SUM('Unit economics by plan (monthly'!C21,'Unit economics by plan (monthly'!C22)</f>
        <v>0</v>
      </c>
      <c r="D20" s="9">
        <f>SUM('Unit economics by plan (monthly'!D21,'Unit economics by plan (monthly'!D22)</f>
        <v>0</v>
      </c>
      <c r="E20" s="9">
        <f>SUM('Unit economics by plan (monthly'!E21,'Unit economics by plan (monthly'!E22)</f>
        <v>0</v>
      </c>
      <c r="F20" s="9">
        <f>SUM('Unit economics by plan (monthly'!F21,'Unit economics by plan (monthly'!F22)</f>
        <v>0</v>
      </c>
      <c r="G20" s="9">
        <f>SUM('Unit economics by plan (monthly'!G21,'Unit economics by plan (monthly'!G22)</f>
        <v>0</v>
      </c>
      <c r="H20" s="9">
        <f>SUM('Unit economics by plan (monthly'!H21,'Unit economics by plan (monthly'!H22)</f>
        <v>0</v>
      </c>
      <c r="I20" s="9">
        <f>SUM('Unit economics by plan (monthly'!I21,'Unit economics by plan (monthly'!I22)</f>
        <v>0</v>
      </c>
      <c r="J20" s="9">
        <f>SUM('Unit economics by plan (monthly'!J21,'Unit economics by plan (monthly'!J22)</f>
        <v>0</v>
      </c>
      <c r="K20" s="9">
        <f>SUM('Unit economics by plan (monthly'!K21,'Unit economics by plan (monthly'!K22)</f>
        <v>0</v>
      </c>
      <c r="L20" s="9">
        <f>SUM('Unit economics by plan (monthly'!L21,'Unit economics by plan (monthly'!L22)</f>
        <v>0</v>
      </c>
      <c r="M20" s="9">
        <f>SUM('Unit economics by plan (monthly'!M21,'Unit economics by plan (monthly'!M22)</f>
        <v>0</v>
      </c>
    </row>
    <row r="21" outlineLevel="1">
      <c r="A21" t="inlineStr" s="7">
        <is>
          <t xml:space="preserve">Classroom</t>
        </is>
      </c>
      <c r="B21" s="10">
        <f>'Unit economics by plan (monthly'!B12*IF(IF(IF(IF(ISERROR('Model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C21" s="10">
        <f>'Unit economics by plan (monthly'!C12*IF(IF(IF(IF(ISERROR('Model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D21" s="10">
        <f>'Unit economics by plan (monthly'!D12*IF(IF(IF(IF(ISERROR('Model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E21" s="10">
        <f>'Unit economics by plan (monthly'!E12*IF(IF(IF(IF(ISERROR('Model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F21" s="10">
        <f>'Unit economics by plan (monthly'!F12*IF(IF(IF(IF(ISERROR('Model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G21" s="10">
        <f>'Unit economics by plan (monthly'!G12*IF(IF(IF(IF(ISERROR('Model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H21" s="10">
        <f>'Unit economics by plan (monthly'!H12*IF(IF(IF(IF(ISERROR('Model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I21" s="10">
        <f>'Unit economics by plan (monthly'!I12*IF(IF(IF(IF(ISERROR('Model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J21" s="10">
        <f>'Unit economics by plan (monthly'!J12*IF(IF(IF(IF(ISERROR('Model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K21" s="10">
        <f>'Unit economics by plan (monthly'!K12*IF(IF(IF(IF(ISERROR('Model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L21" s="10">
        <f>'Unit economics by plan (monthly'!L12*IF(IF(IF(IF(ISERROR('Model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M21" s="10">
        <f>'Unit economics by plan (monthly'!M12*IF(IF(IF(IF(ISERROR('Model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</row>
    <row r="22" outlineLevel="1">
      <c r="A22" t="inlineStr" s="7">
        <is>
          <t xml:space="preserve">Household</t>
        </is>
      </c>
      <c r="B22" s="10">
        <f>'Unit economics by plan (monthly'!B13*IF(IF(IF(IF(ISERROR('Model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C22" s="10">
        <f>'Unit economics by plan (monthly'!C13*IF(IF(IF(IF(ISERROR('Model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D22" s="10">
        <f>'Unit economics by plan (monthly'!D13*IF(IF(IF(IF(ISERROR('Model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E22" s="10">
        <f>'Unit economics by plan (monthly'!E13*IF(IF(IF(IF(ISERROR('Model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F22" s="10">
        <f>'Unit economics by plan (monthly'!F13*IF(IF(IF(IF(ISERROR('Model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G22" s="10">
        <f>'Unit economics by plan (monthly'!G13*IF(IF(IF(IF(ISERROR('Model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H22" s="10">
        <f>'Unit economics by plan (monthly'!H13*IF(IF(IF(IF(ISERROR('Model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I22" s="10">
        <f>'Unit economics by plan (monthly'!I13*IF(IF(IF(IF(ISERROR('Model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J22" s="10">
        <f>'Unit economics by plan (monthly'!J13*IF(IF(IF(IF(ISERROR('Model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K22" s="10">
        <f>'Unit economics by plan (monthly'!K13*IF(IF(IF(IF(ISERROR('Model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L22" s="10">
        <f>'Unit economics by plan (monthly'!L13*IF(IF(IF(IF(ISERROR('Model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M22" s="10">
        <f>'Unit economics by plan (monthly'!M13*IF(IF(IF(IF(ISERROR('Model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</row>
    <row r="23">
      <c r="A23" t="inlineStr" s="5">
        <is>
          <t xml:space="preserve">Revenue (USD)</t>
        </is>
      </c>
      <c r="B23" s="9">
        <f>SUM('Unit economics by plan (monthly'!B24,'Unit economics by plan (monthly'!B25)</f>
        <v>623.452</v>
      </c>
      <c r="C23" s="9">
        <f>SUM('Unit economics by plan (monthly'!C24,'Unit economics by plan (monthly'!C25)</f>
        <v>674.0108399999999</v>
      </c>
      <c r="D23" s="9">
        <f>SUM('Unit economics by plan (monthly'!D24,'Unit economics by plan (monthly'!D25)</f>
        <v>721.5095228</v>
      </c>
      <c r="E23" s="9">
        <f>SUM('Unit economics by plan (monthly'!E24,'Unit economics by plan (monthly'!E25)</f>
        <v>766.163324476</v>
      </c>
      <c r="F23" s="9">
        <f>SUM('Unit economics by plan (monthly'!F24,'Unit economics by plan (monthly'!F25)</f>
        <v>808.17118511292</v>
      </c>
      <c r="G23" s="9">
        <f>SUM('Unit economics by plan (monthly'!G24,'Unit economics by plan (monthly'!G25)</f>
        <v>847.7169891010365</v>
      </c>
      <c r="H23" s="9">
        <f>SUM('Unit economics by plan (monthly'!H24,'Unit economics by plan (monthly'!H25)</f>
        <v>884.9707438061889</v>
      </c>
      <c r="I23" s="9">
        <f>SUM('Unit economics by plan (monthly'!I24,'Unit economics by plan (monthly'!I25)</f>
        <v>920.0896647199322</v>
      </c>
      <c r="J23" s="9">
        <f>SUM('Unit economics by plan (monthly'!J24,'Unit economics by plan (monthly'!J25)</f>
        <v>953.2191745480288</v>
      </c>
      <c r="K23" s="9">
        <f>SUM('Unit economics by plan (monthly'!K24,'Unit economics by plan (monthly'!K25)</f>
        <v>984.493823099707</v>
      </c>
      <c r="L23" s="9">
        <f>SUM('Unit economics by plan (monthly'!L24,'Unit economics by plan (monthly'!L25)</f>
        <v>1014.0381342917855</v>
      </c>
      <c r="M23" s="9">
        <f>SUM('Unit economics by plan (monthly'!M24,'Unit economics by plan (monthly'!M25)</f>
        <v>1041.967386077296</v>
      </c>
    </row>
    <row r="24" outlineLevel="1">
      <c r="A24" t="inlineStr" s="7">
        <is>
          <t xml:space="preserve">Classroom</t>
        </is>
      </c>
      <c r="B24" s="10">
        <f>'Unit economics by plan (monthly'!B18+'Unit economics by plan (monthly'!B21</f>
        <v>310.29999999999995</v>
      </c>
      <c r="C24" s="10">
        <f>'Unit economics by plan (monthly'!C18+'Unit economics by plan (monthly'!C21</f>
        <v>329.991</v>
      </c>
      <c r="D24" s="10">
        <f>'Unit economics by plan (monthly'!D18+'Unit economics by plan (monthly'!D21</f>
        <v>349.09127</v>
      </c>
      <c r="E24" s="10">
        <f>'Unit economics by plan (monthly'!E18+'Unit economics by plan (monthly'!E21</f>
        <v>367.6185319</v>
      </c>
      <c r="F24" s="10">
        <f>'Unit economics by plan (monthly'!F18+'Unit economics by plan (monthly'!F21</f>
        <v>385.589975943</v>
      </c>
      <c r="G24" s="10">
        <f>'Unit economics by plan (monthly'!G18+'Unit economics by plan (monthly'!G21</f>
        <v>403.02227666471003</v>
      </c>
      <c r="H24" s="10">
        <f>'Unit economics by plan (monthly'!H18+'Unit economics by plan (monthly'!H21</f>
        <v>419.9316083647687</v>
      </c>
      <c r="I24" s="10">
        <f>'Unit economics by plan (monthly'!I18+'Unit economics by plan (monthly'!I21</f>
        <v>436.33366011382566</v>
      </c>
      <c r="J24" s="10">
        <f>'Unit economics by plan (monthly'!J18+'Unit economics by plan (monthly'!J21</f>
        <v>452.2436503104108</v>
      </c>
      <c r="K24" s="10">
        <f>'Unit economics by plan (monthly'!K18+'Unit economics by plan (monthly'!K21</f>
        <v>467.67634080109855</v>
      </c>
      <c r="L24" s="10">
        <f>'Unit economics by plan (monthly'!L18+'Unit economics by plan (monthly'!L21</f>
        <v>482.6460505770656</v>
      </c>
      <c r="M24" s="10">
        <f>'Unit economics by plan (monthly'!M18+'Unit economics by plan (monthly'!M21</f>
        <v>497.16666905975364</v>
      </c>
    </row>
    <row r="25" outlineLevel="1">
      <c r="A25" t="inlineStr" s="7">
        <is>
          <t xml:space="preserve">Household</t>
        </is>
      </c>
      <c r="B25" s="10">
        <f>'Unit economics by plan (monthly'!B19+'Unit economics by plan (monthly'!B22</f>
        <v>313.152</v>
      </c>
      <c r="C25" s="10">
        <f>'Unit economics by plan (monthly'!C19+'Unit economics by plan (monthly'!C22</f>
        <v>344.01984</v>
      </c>
      <c r="D25" s="10">
        <f>'Unit economics by plan (monthly'!D19+'Unit economics by plan (monthly'!D22</f>
        <v>372.41825279999995</v>
      </c>
      <c r="E25" s="10">
        <f>'Unit economics by plan (monthly'!E19+'Unit economics by plan (monthly'!E22</f>
        <v>398.54479257599996</v>
      </c>
      <c r="F25" s="10">
        <f>'Unit economics by plan (monthly'!F19+'Unit economics by plan (monthly'!F22</f>
        <v>422.58120916992</v>
      </c>
      <c r="G25" s="10">
        <f>'Unit economics by plan (monthly'!G19+'Unit economics by plan (monthly'!G22</f>
        <v>444.69471243632637</v>
      </c>
      <c r="H25" s="10">
        <f>'Unit economics by plan (monthly'!H19+'Unit economics by plan (monthly'!H22</f>
        <v>465.0391354414202</v>
      </c>
      <c r="I25" s="10">
        <f>'Unit economics by plan (monthly'!I19+'Unit economics by plan (monthly'!I22</f>
        <v>483.75600460610656</v>
      </c>
      <c r="J25" s="10">
        <f>'Unit economics by plan (monthly'!J19+'Unit economics by plan (monthly'!J22</f>
        <v>500.97552423761806</v>
      </c>
      <c r="K25" s="10">
        <f>'Unit economics by plan (monthly'!K19+'Unit economics by plan (monthly'!K22</f>
        <v>516.8174822986085</v>
      </c>
      <c r="L25" s="10">
        <f>'Unit economics by plan (monthly'!L19+'Unit economics by plan (monthly'!L22</f>
        <v>531.3920837147199</v>
      </c>
      <c r="M25" s="10">
        <f>'Unit economics by plan (monthly'!M19+'Unit economics by plan (monthly'!M22</f>
        <v>544.8007170175423</v>
      </c>
    </row>
    <row r="26">
      <c r="A26" t="inlineStr" s="5">
        <is>
          <t xml:space="preserve">Inference cost (USD, estimate)</t>
        </is>
      </c>
      <c r="B26" s="9">
        <f>SUM('Unit economics by plan (monthly'!B27,'Unit economics by plan (monthly'!B28)</f>
        <v>188.95730399999997</v>
      </c>
      <c r="C26" s="9">
        <f>SUM('Unit economics by plan (monthly'!C27,'Unit economics by plan (monthly'!C28)</f>
        <v>203.16694967999996</v>
      </c>
      <c r="D26" s="9">
        <f>SUM('Unit economics by plan (monthly'!D27,'Unit economics by plan (monthly'!D28)</f>
        <v>216.63887200559998</v>
      </c>
      <c r="E26" s="9">
        <f>SUM('Unit economics by plan (monthly'!E27,'Unit economics by plan (monthly'!E28)</f>
        <v>229.42011739615197</v>
      </c>
      <c r="F26" s="9">
        <f>SUM('Unit economics by plan (monthly'!F27,'Unit economics by plan (monthly'!F28)</f>
        <v>241.55432770092978</v>
      </c>
      <c r="G26" s="9">
        <f>SUM('Unit economics by plan (monthly'!G27,'Unit economics by plan (monthly'!G28)</f>
        <v>253.08200179043132</v>
      </c>
      <c r="H26" s="9">
        <f>SUM('Unit economics by plan (monthly'!H27,'Unit economics by plan (monthly'!H28)</f>
        <v>264.0407365436054</v>
      </c>
      <c r="I26" s="9">
        <f>SUM('Unit economics by plan (monthly'!I27,'Unit economics by plan (monthly'!I28)</f>
        <v>274.46544886963335</v>
      </c>
      <c r="J26" s="9">
        <f>SUM('Unit economics by plan (monthly'!J27,'Unit economics by plan (monthly'!J28)</f>
        <v>284.3885802720936</v>
      </c>
      <c r="K26" s="9">
        <f>SUM('Unit economics by plan (monthly'!K27,'Unit economics by plan (monthly'!K28)</f>
        <v>293.84028534299597</v>
      </c>
      <c r="L26" s="9">
        <f>SUM('Unit economics by plan (monthly'!L27,'Unit economics by plan (monthly'!L28)</f>
        <v>302.8486054634462</v>
      </c>
      <c r="M26" s="9">
        <f>SUM('Unit economics by plan (monthly'!M27,'Unit economics by plan (monthly'!M28)</f>
        <v>311.4396288858236</v>
      </c>
    </row>
    <row r="27" outlineLevel="1">
      <c r="A27" t="inlineStr" s="7">
        <is>
          <t xml:space="preserve">Classroom</t>
        </is>
      </c>
      <c r="B27" s="10">
        <f>'Unit economics by plan (monthly'!B15*'Model inputs'!O18</f>
        <v>125.7678</v>
      </c>
      <c r="C27" s="10">
        <f>'Unit economics by plan (monthly'!C15*'Model inputs'!O18</f>
        <v>133.748766</v>
      </c>
      <c r="D27" s="10">
        <f>'Unit economics by plan (monthly'!D15*'Model inputs'!O18</f>
        <v>141.49030302</v>
      </c>
      <c r="E27" s="10">
        <f>'Unit economics by plan (monthly'!E15*'Model inputs'!O18</f>
        <v>148.9995939294</v>
      </c>
      <c r="F27" s="10">
        <f>'Unit economics by plan (monthly'!F15*'Model inputs'!O18</f>
        <v>156.28360611151797</v>
      </c>
      <c r="G27" s="10">
        <f>'Unit economics by plan (monthly'!G15*'Model inputs'!O18</f>
        <v>163.34909792817245</v>
      </c>
      <c r="H27" s="10">
        <f>'Unit economics by plan (monthly'!H15*'Model inputs'!O18</f>
        <v>170.20262499032728</v>
      </c>
      <c r="I27" s="10">
        <f>'Unit economics by plan (monthly'!I15*'Model inputs'!O18</f>
        <v>176.85054624061746</v>
      </c>
      <c r="J27" s="10">
        <f>'Unit economics by plan (monthly'!J15*'Model inputs'!O18</f>
        <v>183.29902985339893</v>
      </c>
      <c r="K27" s="10">
        <f>'Unit economics by plan (monthly'!K15*'Model inputs'!O18</f>
        <v>189.55405895779694</v>
      </c>
      <c r="L27" s="10">
        <f>'Unit economics by plan (monthly'!L15*'Model inputs'!O18</f>
        <v>195.62143718906304</v>
      </c>
      <c r="M27" s="10">
        <f>'Unit economics by plan (monthly'!M15*'Model inputs'!O18</f>
        <v>201.50679407339115</v>
      </c>
    </row>
    <row r="28" outlineLevel="1">
      <c r="A28" t="inlineStr" s="7">
        <is>
          <t xml:space="preserve">Household</t>
        </is>
      </c>
      <c r="B28" s="10">
        <f>'Unit economics by plan (monthly'!B16*'Model inputs'!O18</f>
        <v>63.189503999999985</v>
      </c>
      <c r="C28" s="10">
        <f>'Unit economics by plan (monthly'!C16*'Model inputs'!O18</f>
        <v>69.41818367999998</v>
      </c>
      <c r="D28" s="10">
        <f>'Unit economics by plan (monthly'!D16*'Model inputs'!O18</f>
        <v>75.14856898559998</v>
      </c>
      <c r="E28" s="10">
        <f>'Unit economics by plan (monthly'!E16*'Model inputs'!O18</f>
        <v>80.42052346675199</v>
      </c>
      <c r="F28" s="10">
        <f>'Unit economics by plan (monthly'!F16*'Model inputs'!O18</f>
        <v>85.27072158941182</v>
      </c>
      <c r="G28" s="10">
        <f>'Unit economics by plan (monthly'!G16*'Model inputs'!O18</f>
        <v>89.73290386225887</v>
      </c>
      <c r="H28" s="10">
        <f>'Unit economics by plan (monthly'!H16*'Model inputs'!O18</f>
        <v>93.83811155327815</v>
      </c>
      <c r="I28" s="10">
        <f>'Unit economics by plan (monthly'!I16*'Model inputs'!O18</f>
        <v>97.61490262901589</v>
      </c>
      <c r="J28" s="10">
        <f>'Unit economics by plan (monthly'!J16*'Model inputs'!O18</f>
        <v>101.08955041869461</v>
      </c>
      <c r="K28" s="10">
        <f>'Unit economics by plan (monthly'!K16*'Model inputs'!O18</f>
        <v>104.28622638519904</v>
      </c>
      <c r="L28" s="10">
        <f>'Unit economics by plan (monthly'!L16*'Model inputs'!O18</f>
        <v>107.22716827438313</v>
      </c>
      <c r="M28" s="10">
        <f>'Unit economics by plan (monthly'!M16*'Model inputs'!O18</f>
        <v>109.93283481243246</v>
      </c>
    </row>
  </sheetData>
  <mergeCells count="1">
    <mergeCell ref="A1:M1"/>
  </mergeCells>
</worksheet>
</file>

<file path=xl/worksheets/sheet3.xml><?xml version="1.0" encoding="utf-8"?>
<worksheet xmlns="http://schemas.openxmlformats.org/spreadsheetml/2006/main">
  <dimension ref="A1:M1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Gross profit and margin by plan (monthly)</t>
        </is>
      </c>
    </row>
    <row r="2" ht="20" customHeight="1">
      <c r="A2" t="inlineStr" s="2">
        <is>
          <t xml:space="preserve">Unit economics · Main Scenario</t>
        </is>
      </c>
    </row>
    <row r="4" ht="22" customHeight="1">
      <c r="A4" t="inlineStr" s="3">
        <is>
          <t xml:space="preserve">Variable / dimension</t>
        </is>
      </c>
      <c r="B4" t="inlineStr" s="15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5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5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5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</row>
    <row r="5">
      <c r="A5" t="inlineStr" s="5">
        <is>
          <t xml:space="preserve">Spans per month (derived)</t>
        </is>
      </c>
      <c r="B5" s="16">
        <f>'Unit economics by plan (monthly'!B14*'Model inputs'!O106</f>
        <v>144684</v>
      </c>
      <c r="C5" s="16">
        <f>'Unit economics by plan (monthly'!C14*'Model inputs'!O106</f>
        <v>155564.28</v>
      </c>
      <c r="D5" s="16">
        <f>'Unit economics by plan (monthly'!D14*'Model inputs'!O106</f>
        <v>165879.68759999998</v>
      </c>
      <c r="E5" s="16">
        <f>'Unit economics by plan (monthly'!E14*'Model inputs'!O106</f>
        <v>175666.246092</v>
      </c>
      <c r="F5" s="16">
        <f>'Unit economics by plan (monthly'!F14*'Model inputs'!O106</f>
        <v>184957.37189963998</v>
      </c>
      <c r="G5" s="16">
        <f>'Unit economics by plan (monthly'!G14*'Model inputs'!O106</f>
        <v>193784.07487781878</v>
      </c>
      <c r="H5" s="16">
        <f>'Unit economics by plan (monthly'!H14*'Model inputs'!O106</f>
        <v>202175.14283583878</v>
      </c>
      <c r="I5" s="16">
        <f>'Unit economics by plan (monthly'!I14*'Model inputs'!O106</f>
        <v>210157.3115387698</v>
      </c>
      <c r="J5" s="16">
        <f>'Unit economics by plan (monthly'!J14*'Model inputs'!O106</f>
        <v>217755.42134157236</v>
      </c>
      <c r="K5" s="16">
        <f>'Unit economics by plan (monthly'!K14*'Model inputs'!O106</f>
        <v>224992.56151837367</v>
      </c>
      <c r="L5" s="16">
        <f>'Unit economics by plan (monthly'!L14*'Model inputs'!O106</f>
        <v>231890.20326450703</v>
      </c>
      <c r="M5" s="16">
        <f>'Unit economics by plan (monthly'!M14*'Model inputs'!O106</f>
        <v>238468.32227092158</v>
      </c>
    </row>
    <row r="6">
      <c r="A6" t="inlineStr" s="13">
        <is>
          <t xml:space="preserve">neatlogs bill (USD, derived)</t>
        </is>
      </c>
      <c r="B6" s="10">
        <f>IF(IF(IF(ISERROR('Model inputs'!O65=1),'Model inputs'!O65=1,IF('Model inputs'!O65="","",'Model inputs'!O65=1))="",FALSE,IF(ISERROR('Model inputs'!O65=1),'Model inputs'!O65=1,IF('Model inputs'!O65="","",'Model inputs'!O65=1))),0,IF(IF(IF(ISERROR('Gross profit and margin by plan'!B5&lt;='Model inputs'!O66),'Gross profit and margin by plan'!B5&lt;='Model inputs'!O66,IF(OR('Gross profit and margin by plan'!B5="",'Model inputs'!O66=""),"",'Gross profit and margin by plan'!B5&lt;='Model inputs'!O66))="",FALSE,IF(ISERROR('Gross profit and margin by plan'!B5&lt;='Model inputs'!O66),'Gross profit and margin by plan'!B5&lt;='Model inputs'!O66,IF(OR('Gross profit and margin by plan'!B5="",'Model inputs'!O66=""),"",'Gross profit and margin by plan'!B5&lt;='Model inputs'!O66))),0,IF(IF(IF(ISERROR('Gross profit and margin by plan'!B5&lt;='Model inputs'!O68),'Gross profit and margin by plan'!B5&lt;='Model inputs'!O68,IF(OR('Gross profit and margin by plan'!B5="",'Model inputs'!O68=""),"",'Gross profit and margin by plan'!B5&lt;='Model inputs'!O68))="",FALSE,IF(ISERROR('Gross profit and margin by plan'!B5&lt;='Model inputs'!O68),'Gross profit and margin by plan'!B5&lt;='Model inputs'!O68,IF(OR('Gross profit and margin by plan'!B5="",'Model inputs'!O68=""),"",'Gross profit and margin by plan'!B5&lt;='Model inputs'!O68))),IF('Model inputs'!O69="","",'Model inputs'!O69),'Model inputs'!O69+CEILING(('Gross profit and margin by plan'!B5-'Model inputs'!O68)/100000,1)*'Model inputs'!O67)))</f>
        <v>0</v>
      </c>
      <c r="C6" s="10">
        <f>IF(IF(IF(ISERROR('Model inputs'!O65=1),'Model inputs'!O65=1,IF('Model inputs'!O65="","",'Model inputs'!O65=1))="",FALSE,IF(ISERROR('Model inputs'!O65=1),'Model inputs'!O65=1,IF('Model inputs'!O65="","",'Model inputs'!O65=1))),0,IF(IF(IF(ISERROR('Gross profit and margin by plan'!C5&lt;='Model inputs'!O66),'Gross profit and margin by plan'!C5&lt;='Model inputs'!O66,IF(OR('Gross profit and margin by plan'!C5="",'Model inputs'!O66=""),"",'Gross profit and margin by plan'!C5&lt;='Model inputs'!O66))="",FALSE,IF(ISERROR('Gross profit and margin by plan'!C5&lt;='Model inputs'!O66),'Gross profit and margin by plan'!C5&lt;='Model inputs'!O66,IF(OR('Gross profit and margin by plan'!C5="",'Model inputs'!O66=""),"",'Gross profit and margin by plan'!C5&lt;='Model inputs'!O66))),0,IF(IF(IF(ISERROR('Gross profit and margin by plan'!C5&lt;='Model inputs'!O68),'Gross profit and margin by plan'!C5&lt;='Model inputs'!O68,IF(OR('Gross profit and margin by plan'!C5="",'Model inputs'!O68=""),"",'Gross profit and margin by plan'!C5&lt;='Model inputs'!O68))="",FALSE,IF(ISERROR('Gross profit and margin by plan'!C5&lt;='Model inputs'!O68),'Gross profit and margin by plan'!C5&lt;='Model inputs'!O68,IF(OR('Gross profit and margin by plan'!C5="",'Model inputs'!O68=""),"",'Gross profit and margin by plan'!C5&lt;='Model inputs'!O68))),IF('Model inputs'!O69="","",'Model inputs'!O69),'Model inputs'!O69+CEILING(('Gross profit and margin by plan'!C5-'Model inputs'!O68)/100000,1)*'Model inputs'!O67)))</f>
        <v>0</v>
      </c>
      <c r="D6" s="10">
        <f>IF(IF(IF(ISERROR('Model inputs'!O65=1),'Model inputs'!O65=1,IF('Model inputs'!O65="","",'Model inputs'!O65=1))="",FALSE,IF(ISERROR('Model inputs'!O65=1),'Model inputs'!O65=1,IF('Model inputs'!O65="","",'Model inputs'!O65=1))),0,IF(IF(IF(ISERROR('Gross profit and margin by plan'!D5&lt;='Model inputs'!O66),'Gross profit and margin by plan'!D5&lt;='Model inputs'!O66,IF(OR('Gross profit and margin by plan'!D5="",'Model inputs'!O66=""),"",'Gross profit and margin by plan'!D5&lt;='Model inputs'!O66))="",FALSE,IF(ISERROR('Gross profit and margin by plan'!D5&lt;='Model inputs'!O66),'Gross profit and margin by plan'!D5&lt;='Model inputs'!O66,IF(OR('Gross profit and margin by plan'!D5="",'Model inputs'!O66=""),"",'Gross profit and margin by plan'!D5&lt;='Model inputs'!O66))),0,IF(IF(IF(ISERROR('Gross profit and margin by plan'!D5&lt;='Model inputs'!O68),'Gross profit and margin by plan'!D5&lt;='Model inputs'!O68,IF(OR('Gross profit and margin by plan'!D5="",'Model inputs'!O68=""),"",'Gross profit and margin by plan'!D5&lt;='Model inputs'!O68))="",FALSE,IF(ISERROR('Gross profit and margin by plan'!D5&lt;='Model inputs'!O68),'Gross profit and margin by plan'!D5&lt;='Model inputs'!O68,IF(OR('Gross profit and margin by plan'!D5="",'Model inputs'!O68=""),"",'Gross profit and margin by plan'!D5&lt;='Model inputs'!O68))),IF('Model inputs'!O69="","",'Model inputs'!O69),'Model inputs'!O69+CEILING(('Gross profit and margin by plan'!D5-'Model inputs'!O68)/100000,1)*'Model inputs'!O67)))</f>
        <v>0</v>
      </c>
      <c r="E6" s="10">
        <f>IF(IF(IF(ISERROR('Model inputs'!O65=1),'Model inputs'!O65=1,IF('Model inputs'!O65="","",'Model inputs'!O65=1))="",FALSE,IF(ISERROR('Model inputs'!O65=1),'Model inputs'!O65=1,IF('Model inputs'!O65="","",'Model inputs'!O65=1))),0,IF(IF(IF(ISERROR('Gross profit and margin by plan'!E5&lt;='Model inputs'!O66),'Gross profit and margin by plan'!E5&lt;='Model inputs'!O66,IF(OR('Gross profit and margin by plan'!E5="",'Model inputs'!O66=""),"",'Gross profit and margin by plan'!E5&lt;='Model inputs'!O66))="",FALSE,IF(ISERROR('Gross profit and margin by plan'!E5&lt;='Model inputs'!O66),'Gross profit and margin by plan'!E5&lt;='Model inputs'!O66,IF(OR('Gross profit and margin by plan'!E5="",'Model inputs'!O66=""),"",'Gross profit and margin by plan'!E5&lt;='Model inputs'!O66))),0,IF(IF(IF(ISERROR('Gross profit and margin by plan'!E5&lt;='Model inputs'!O68),'Gross profit and margin by plan'!E5&lt;='Model inputs'!O68,IF(OR('Gross profit and margin by plan'!E5="",'Model inputs'!O68=""),"",'Gross profit and margin by plan'!E5&lt;='Model inputs'!O68))="",FALSE,IF(ISERROR('Gross profit and margin by plan'!E5&lt;='Model inputs'!O68),'Gross profit and margin by plan'!E5&lt;='Model inputs'!O68,IF(OR('Gross profit and margin by plan'!E5="",'Model inputs'!O68=""),"",'Gross profit and margin by plan'!E5&lt;='Model inputs'!O68))),IF('Model inputs'!O69="","",'Model inputs'!O69),'Model inputs'!O69+CEILING(('Gross profit and margin by plan'!E5-'Model inputs'!O68)/100000,1)*'Model inputs'!O67)))</f>
        <v>0</v>
      </c>
      <c r="F6" s="10">
        <f>IF(IF(IF(ISERROR('Model inputs'!O65=1),'Model inputs'!O65=1,IF('Model inputs'!O65="","",'Model inputs'!O65=1))="",FALSE,IF(ISERROR('Model inputs'!O65=1),'Model inputs'!O65=1,IF('Model inputs'!O65="","",'Model inputs'!O65=1))),0,IF(IF(IF(ISERROR('Gross profit and margin by plan'!F5&lt;='Model inputs'!O66),'Gross profit and margin by plan'!F5&lt;='Model inputs'!O66,IF(OR('Gross profit and margin by plan'!F5="",'Model inputs'!O66=""),"",'Gross profit and margin by plan'!F5&lt;='Model inputs'!O66))="",FALSE,IF(ISERROR('Gross profit and margin by plan'!F5&lt;='Model inputs'!O66),'Gross profit and margin by plan'!F5&lt;='Model inputs'!O66,IF(OR('Gross profit and margin by plan'!F5="",'Model inputs'!O66=""),"",'Gross profit and margin by plan'!F5&lt;='Model inputs'!O66))),0,IF(IF(IF(ISERROR('Gross profit and margin by plan'!F5&lt;='Model inputs'!O68),'Gross profit and margin by plan'!F5&lt;='Model inputs'!O68,IF(OR('Gross profit and margin by plan'!F5="",'Model inputs'!O68=""),"",'Gross profit and margin by plan'!F5&lt;='Model inputs'!O68))="",FALSE,IF(ISERROR('Gross profit and margin by plan'!F5&lt;='Model inputs'!O68),'Gross profit and margin by plan'!F5&lt;='Model inputs'!O68,IF(OR('Gross profit and margin by plan'!F5="",'Model inputs'!O68=""),"",'Gross profit and margin by plan'!F5&lt;='Model inputs'!O68))),IF('Model inputs'!O69="","",'Model inputs'!O69),'Model inputs'!O69+CEILING(('Gross profit and margin by plan'!F5-'Model inputs'!O68)/100000,1)*'Model inputs'!O67)))</f>
        <v>0</v>
      </c>
      <c r="G6" s="10">
        <f>IF(IF(IF(ISERROR('Model inputs'!O65=1),'Model inputs'!O65=1,IF('Model inputs'!O65="","",'Model inputs'!O65=1))="",FALSE,IF(ISERROR('Model inputs'!O65=1),'Model inputs'!O65=1,IF('Model inputs'!O65="","",'Model inputs'!O65=1))),0,IF(IF(IF(ISERROR('Gross profit and margin by plan'!G5&lt;='Model inputs'!O66),'Gross profit and margin by plan'!G5&lt;='Model inputs'!O66,IF(OR('Gross profit and margin by plan'!G5="",'Model inputs'!O66=""),"",'Gross profit and margin by plan'!G5&lt;='Model inputs'!O66))="",FALSE,IF(ISERROR('Gross profit and margin by plan'!G5&lt;='Model inputs'!O66),'Gross profit and margin by plan'!G5&lt;='Model inputs'!O66,IF(OR('Gross profit and margin by plan'!G5="",'Model inputs'!O66=""),"",'Gross profit and margin by plan'!G5&lt;='Model inputs'!O66))),0,IF(IF(IF(ISERROR('Gross profit and margin by plan'!G5&lt;='Model inputs'!O68),'Gross profit and margin by plan'!G5&lt;='Model inputs'!O68,IF(OR('Gross profit and margin by plan'!G5="",'Model inputs'!O68=""),"",'Gross profit and margin by plan'!G5&lt;='Model inputs'!O68))="",FALSE,IF(ISERROR('Gross profit and margin by plan'!G5&lt;='Model inputs'!O68),'Gross profit and margin by plan'!G5&lt;='Model inputs'!O68,IF(OR('Gross profit and margin by plan'!G5="",'Model inputs'!O68=""),"",'Gross profit and margin by plan'!G5&lt;='Model inputs'!O68))),IF('Model inputs'!O69="","",'Model inputs'!O69),'Model inputs'!O69+CEILING(('Gross profit and margin by plan'!G5-'Model inputs'!O68)/100000,1)*'Model inputs'!O67)))</f>
        <v>0</v>
      </c>
      <c r="H6" s="10">
        <f>IF(IF(IF(ISERROR('Model inputs'!O65=1),'Model inputs'!O65=1,IF('Model inputs'!O65="","",'Model inputs'!O65=1))="",FALSE,IF(ISERROR('Model inputs'!O65=1),'Model inputs'!O65=1,IF('Model inputs'!O65="","",'Model inputs'!O65=1))),0,IF(IF(IF(ISERROR('Gross profit and margin by plan'!H5&lt;='Model inputs'!O66),'Gross profit and margin by plan'!H5&lt;='Model inputs'!O66,IF(OR('Gross profit and margin by plan'!H5="",'Model inputs'!O66=""),"",'Gross profit and margin by plan'!H5&lt;='Model inputs'!O66))="",FALSE,IF(ISERROR('Gross profit and margin by plan'!H5&lt;='Model inputs'!O66),'Gross profit and margin by plan'!H5&lt;='Model inputs'!O66,IF(OR('Gross profit and margin by plan'!H5="",'Model inputs'!O66=""),"",'Gross profit and margin by plan'!H5&lt;='Model inputs'!O66))),0,IF(IF(IF(ISERROR('Gross profit and margin by plan'!H5&lt;='Model inputs'!O68),'Gross profit and margin by plan'!H5&lt;='Model inputs'!O68,IF(OR('Gross profit and margin by plan'!H5="",'Model inputs'!O68=""),"",'Gross profit and margin by plan'!H5&lt;='Model inputs'!O68))="",FALSE,IF(ISERROR('Gross profit and margin by plan'!H5&lt;='Model inputs'!O68),'Gross profit and margin by plan'!H5&lt;='Model inputs'!O68,IF(OR('Gross profit and margin by plan'!H5="",'Model inputs'!O68=""),"",'Gross profit and margin by plan'!H5&lt;='Model inputs'!O68))),IF('Model inputs'!O69="","",'Model inputs'!O69),'Model inputs'!O69+CEILING(('Gross profit and margin by plan'!H5-'Model inputs'!O68)/100000,1)*'Model inputs'!O67)))</f>
        <v>0</v>
      </c>
      <c r="I6" s="10">
        <f>IF(IF(IF(ISERROR('Model inputs'!O65=1),'Model inputs'!O65=1,IF('Model inputs'!O65="","",'Model inputs'!O65=1))="",FALSE,IF(ISERROR('Model inputs'!O65=1),'Model inputs'!O65=1,IF('Model inputs'!O65="","",'Model inputs'!O65=1))),0,IF(IF(IF(ISERROR('Gross profit and margin by plan'!I5&lt;='Model inputs'!O66),'Gross profit and margin by plan'!I5&lt;='Model inputs'!O66,IF(OR('Gross profit and margin by plan'!I5="",'Model inputs'!O66=""),"",'Gross profit and margin by plan'!I5&lt;='Model inputs'!O66))="",FALSE,IF(ISERROR('Gross profit and margin by plan'!I5&lt;='Model inputs'!O66),'Gross profit and margin by plan'!I5&lt;='Model inputs'!O66,IF(OR('Gross profit and margin by plan'!I5="",'Model inputs'!O66=""),"",'Gross profit and margin by plan'!I5&lt;='Model inputs'!O66))),0,IF(IF(IF(ISERROR('Gross profit and margin by plan'!I5&lt;='Model inputs'!O68),'Gross profit and margin by plan'!I5&lt;='Model inputs'!O68,IF(OR('Gross profit and margin by plan'!I5="",'Model inputs'!O68=""),"",'Gross profit and margin by plan'!I5&lt;='Model inputs'!O68))="",FALSE,IF(ISERROR('Gross profit and margin by plan'!I5&lt;='Model inputs'!O68),'Gross profit and margin by plan'!I5&lt;='Model inputs'!O68,IF(OR('Gross profit and margin by plan'!I5="",'Model inputs'!O68=""),"",'Gross profit and margin by plan'!I5&lt;='Model inputs'!O68))),IF('Model inputs'!O69="","",'Model inputs'!O69),'Model inputs'!O69+CEILING(('Gross profit and margin by plan'!I5-'Model inputs'!O68)/100000,1)*'Model inputs'!O67)))</f>
        <v>0</v>
      </c>
      <c r="J6" s="10">
        <f>IF(IF(IF(ISERROR('Model inputs'!O65=1),'Model inputs'!O65=1,IF('Model inputs'!O65="","",'Model inputs'!O65=1))="",FALSE,IF(ISERROR('Model inputs'!O65=1),'Model inputs'!O65=1,IF('Model inputs'!O65="","",'Model inputs'!O65=1))),0,IF(IF(IF(ISERROR('Gross profit and margin by plan'!J5&lt;='Model inputs'!O66),'Gross profit and margin by plan'!J5&lt;='Model inputs'!O66,IF(OR('Gross profit and margin by plan'!J5="",'Model inputs'!O66=""),"",'Gross profit and margin by plan'!J5&lt;='Model inputs'!O66))="",FALSE,IF(ISERROR('Gross profit and margin by plan'!J5&lt;='Model inputs'!O66),'Gross profit and margin by plan'!J5&lt;='Model inputs'!O66,IF(OR('Gross profit and margin by plan'!J5="",'Model inputs'!O66=""),"",'Gross profit and margin by plan'!J5&lt;='Model inputs'!O66))),0,IF(IF(IF(ISERROR('Gross profit and margin by plan'!J5&lt;='Model inputs'!O68),'Gross profit and margin by plan'!J5&lt;='Model inputs'!O68,IF(OR('Gross profit and margin by plan'!J5="",'Model inputs'!O68=""),"",'Gross profit and margin by plan'!J5&lt;='Model inputs'!O68))="",FALSE,IF(ISERROR('Gross profit and margin by plan'!J5&lt;='Model inputs'!O68),'Gross profit and margin by plan'!J5&lt;='Model inputs'!O68,IF(OR('Gross profit and margin by plan'!J5="",'Model inputs'!O68=""),"",'Gross profit and margin by plan'!J5&lt;='Model inputs'!O68))),IF('Model inputs'!O69="","",'Model inputs'!O69),'Model inputs'!O69+CEILING(('Gross profit and margin by plan'!J5-'Model inputs'!O68)/100000,1)*'Model inputs'!O67)))</f>
        <v>0</v>
      </c>
      <c r="K6" s="10">
        <f>IF(IF(IF(ISERROR('Model inputs'!O65=1),'Model inputs'!O65=1,IF('Model inputs'!O65="","",'Model inputs'!O65=1))="",FALSE,IF(ISERROR('Model inputs'!O65=1),'Model inputs'!O65=1,IF('Model inputs'!O65="","",'Model inputs'!O65=1))),0,IF(IF(IF(ISERROR('Gross profit and margin by plan'!K5&lt;='Model inputs'!O66),'Gross profit and margin by plan'!K5&lt;='Model inputs'!O66,IF(OR('Gross profit and margin by plan'!K5="",'Model inputs'!O66=""),"",'Gross profit and margin by plan'!K5&lt;='Model inputs'!O66))="",FALSE,IF(ISERROR('Gross profit and margin by plan'!K5&lt;='Model inputs'!O66),'Gross profit and margin by plan'!K5&lt;='Model inputs'!O66,IF(OR('Gross profit and margin by plan'!K5="",'Model inputs'!O66=""),"",'Gross profit and margin by plan'!K5&lt;='Model inputs'!O66))),0,IF(IF(IF(ISERROR('Gross profit and margin by plan'!K5&lt;='Model inputs'!O68),'Gross profit and margin by plan'!K5&lt;='Model inputs'!O68,IF(OR('Gross profit and margin by plan'!K5="",'Model inputs'!O68=""),"",'Gross profit and margin by plan'!K5&lt;='Model inputs'!O68))="",FALSE,IF(ISERROR('Gross profit and margin by plan'!K5&lt;='Model inputs'!O68),'Gross profit and margin by plan'!K5&lt;='Model inputs'!O68,IF(OR('Gross profit and margin by plan'!K5="",'Model inputs'!O68=""),"",'Gross profit and margin by plan'!K5&lt;='Model inputs'!O68))),IF('Model inputs'!O69="","",'Model inputs'!O69),'Model inputs'!O69+CEILING(('Gross profit and margin by plan'!K5-'Model inputs'!O68)/100000,1)*'Model inputs'!O67)))</f>
        <v>0</v>
      </c>
      <c r="L6" s="10">
        <f>IF(IF(IF(ISERROR('Model inputs'!O65=1),'Model inputs'!O65=1,IF('Model inputs'!O65="","",'Model inputs'!O65=1))="",FALSE,IF(ISERROR('Model inputs'!O65=1),'Model inputs'!O65=1,IF('Model inputs'!O65="","",'Model inputs'!O65=1))),0,IF(IF(IF(ISERROR('Gross profit and margin by plan'!L5&lt;='Model inputs'!O66),'Gross profit and margin by plan'!L5&lt;='Model inputs'!O66,IF(OR('Gross profit and margin by plan'!L5="",'Model inputs'!O66=""),"",'Gross profit and margin by plan'!L5&lt;='Model inputs'!O66))="",FALSE,IF(ISERROR('Gross profit and margin by plan'!L5&lt;='Model inputs'!O66),'Gross profit and margin by plan'!L5&lt;='Model inputs'!O66,IF(OR('Gross profit and margin by plan'!L5="",'Model inputs'!O66=""),"",'Gross profit and margin by plan'!L5&lt;='Model inputs'!O66))),0,IF(IF(IF(ISERROR('Gross profit and margin by plan'!L5&lt;='Model inputs'!O68),'Gross profit and margin by plan'!L5&lt;='Model inputs'!O68,IF(OR('Gross profit and margin by plan'!L5="",'Model inputs'!O68=""),"",'Gross profit and margin by plan'!L5&lt;='Model inputs'!O68))="",FALSE,IF(ISERROR('Gross profit and margin by plan'!L5&lt;='Model inputs'!O68),'Gross profit and margin by plan'!L5&lt;='Model inputs'!O68,IF(OR('Gross profit and margin by plan'!L5="",'Model inputs'!O68=""),"",'Gross profit and margin by plan'!L5&lt;='Model inputs'!O68))),IF('Model inputs'!O69="","",'Model inputs'!O69),'Model inputs'!O69+CEILING(('Gross profit and margin by plan'!L5-'Model inputs'!O68)/100000,1)*'Model inputs'!O67)))</f>
        <v>0</v>
      </c>
      <c r="M6" s="10">
        <f>IF(IF(IF(ISERROR('Model inputs'!O65=1),'Model inputs'!O65=1,IF('Model inputs'!O65="","",'Model inputs'!O65=1))="",FALSE,IF(ISERROR('Model inputs'!O65=1),'Model inputs'!O65=1,IF('Model inputs'!O65="","",'Model inputs'!O65=1))),0,IF(IF(IF(ISERROR('Gross profit and margin by plan'!M5&lt;='Model inputs'!O66),'Gross profit and margin by plan'!M5&lt;='Model inputs'!O66,IF(OR('Gross profit and margin by plan'!M5="",'Model inputs'!O66=""),"",'Gross profit and margin by plan'!M5&lt;='Model inputs'!O66))="",FALSE,IF(ISERROR('Gross profit and margin by plan'!M5&lt;='Model inputs'!O66),'Gross profit and margin by plan'!M5&lt;='Model inputs'!O66,IF(OR('Gross profit and margin by plan'!M5="",'Model inputs'!O66=""),"",'Gross profit and margin by plan'!M5&lt;='Model inputs'!O66))),0,IF(IF(IF(ISERROR('Gross profit and margin by plan'!M5&lt;='Model inputs'!O68),'Gross profit and margin by plan'!M5&lt;='Model inputs'!O68,IF(OR('Gross profit and margin by plan'!M5="",'Model inputs'!O68=""),"",'Gross profit and margin by plan'!M5&lt;='Model inputs'!O68))="",FALSE,IF(ISERROR('Gross profit and margin by plan'!M5&lt;='Model inputs'!O68),'Gross profit and margin by plan'!M5&lt;='Model inputs'!O68,IF(OR('Gross profit and margin by plan'!M5="",'Model inputs'!O68=""),"",'Gross profit and margin by plan'!M5&lt;='Model inputs'!O68))),IF('Model inputs'!O69="","",'Model inputs'!O69),'Model inputs'!O69+CEILING(('Gross profit and margin by plan'!M5-'Model inputs'!O68)/100000,1)*'Model inputs'!O67)))</f>
        <v>0</v>
      </c>
    </row>
    <row r="7">
      <c r="A7" t="inlineStr" s="5">
        <is>
          <t xml:space="preserve">Hosting and neatlogs allocated by revenue (USD)</t>
        </is>
      </c>
      <c r="B7" s="9">
        <f>SUM('Gross profit and margin by plan'!B8,'Gross profit and margin by plan'!B9)</f>
        <v>25</v>
      </c>
      <c r="C7" s="9">
        <f>SUM('Gross profit and margin by plan'!C8,'Gross profit and margin by plan'!C9)</f>
        <v>25.000000000000004</v>
      </c>
      <c r="D7" s="9">
        <f>SUM('Gross profit and margin by plan'!D8,'Gross profit and margin by plan'!D9)</f>
        <v>24.999999999999996</v>
      </c>
      <c r="E7" s="9">
        <f>SUM('Gross profit and margin by plan'!E8,'Gross profit and margin by plan'!E9)</f>
        <v>25</v>
      </c>
      <c r="F7" s="9">
        <f>SUM('Gross profit and margin by plan'!F8,'Gross profit and margin by plan'!F9)</f>
        <v>25</v>
      </c>
      <c r="G7" s="9">
        <f>SUM('Gross profit and margin by plan'!G8,'Gross profit and margin by plan'!G9)</f>
        <v>24.999999999999996</v>
      </c>
      <c r="H7" s="9">
        <f>SUM('Gross profit and margin by plan'!H8,'Gross profit and margin by plan'!H9)</f>
        <v>25</v>
      </c>
      <c r="I7" s="9">
        <f>SUM('Gross profit and margin by plan'!I8,'Gross profit and margin by plan'!I9)</f>
        <v>25</v>
      </c>
      <c r="J7" s="9">
        <f>SUM('Gross profit and margin by plan'!J8,'Gross profit and margin by plan'!J9)</f>
        <v>25</v>
      </c>
      <c r="K7" s="9">
        <f>SUM('Gross profit and margin by plan'!K8,'Gross profit and margin by plan'!K9)</f>
        <v>25</v>
      </c>
      <c r="L7" s="9">
        <f>SUM('Gross profit and margin by plan'!L8,'Gross profit and margin by plan'!L9)</f>
        <v>25</v>
      </c>
      <c r="M7" s="9">
        <f>SUM('Gross profit and margin by plan'!M8,'Gross profit and margin by plan'!M9)</f>
        <v>25</v>
      </c>
    </row>
    <row r="8" outlineLevel="1">
      <c r="A8" t="inlineStr" s="7">
        <is>
          <t xml:space="preserve">Classroom</t>
        </is>
      </c>
      <c r="B8" s="10">
        <f>('Model inputs'!O49+'Gross profit and margin by plan'!B6)*IFERROR('Unit economics by plan (monthly'!B24/SUM('Unit economics by plan (monthly'!B24,'Unit economics by plan (monthly'!B25),0)</f>
        <v>12.44281837254512</v>
      </c>
      <c r="C8" s="10">
        <f>('Model inputs'!O49+'Gross profit and margin by plan'!C6)*IFERROR('Unit economics by plan (monthly'!C24/SUM('Unit economics by plan (monthly'!C24,'Unit economics by plan (monthly'!C25),0)</f>
        <v>12.239825401027677</v>
      </c>
      <c r="D8" s="10">
        <f>('Model inputs'!O49+'Gross profit and margin by plan'!D6)*IFERROR('Unit economics by plan (monthly'!D24/SUM('Unit economics by plan (monthly'!D24,'Unit economics by plan (monthly'!D25),0)</f>
        <v>12.095864952872109</v>
      </c>
      <c r="E8" s="10">
        <f>('Model inputs'!O49+'Gross profit and margin by plan'!E6)*IFERROR('Unit economics by plan (monthly'!E24/SUM('Unit economics by plan (monthly'!E24,'Unit economics by plan (monthly'!E25),0)</f>
        <v>11.995436226062646</v>
      </c>
      <c r="F8" s="10">
        <f>('Model inputs'!O49+'Gross profit and margin by plan'!F6)*IFERROR('Unit economics by plan (monthly'!F24/SUM('Unit economics by plan (monthly'!F24,'Unit economics by plan (monthly'!F25),0)</f>
        <v>11.927855850525166</v>
      </c>
      <c r="G8" s="10">
        <f>('Model inputs'!O49+'Gross profit and margin by plan'!G6)*IFERROR('Unit economics by plan, month 6'!B9/SUM('Unit economics by plan, month 6'!B9,'Unit economics by plan, month 6'!B10),0)</f>
        <v>11.885519632327293</v>
      </c>
      <c r="H8" s="10">
        <f>('Model inputs'!O49+'Gross profit and margin by plan'!H6)*IFERROR('Unit economics by plan (monthly'!H24/SUM('Unit economics by plan (monthly'!H24,'Unit economics by plan (monthly'!H25),0)</f>
        <v>11.862866973394967</v>
      </c>
      <c r="I8" s="10">
        <f>('Model inputs'!O49+'Gross profit and margin by plan'!I6)*IFERROR('Unit economics by plan (monthly'!I24/SUM('Unit economics by plan (monthly'!I24,'Unit economics by plan (monthly'!I25),0)</f>
        <v>11.855737458116163</v>
      </c>
      <c r="J8" s="10">
        <f>('Model inputs'!O49+'Gross profit and margin by plan'!J6)*IFERROR('Unit economics by plan (monthly'!J24/SUM('Unit economics by plan (monthly'!J24,'Unit economics by plan (monthly'!J25),0)</f>
        <v>11.86095659806789</v>
      </c>
      <c r="K8" s="10">
        <f>('Model inputs'!O49+'Gross profit and margin by plan'!K6)*IFERROR('Unit economics by plan (monthly'!K24/SUM('Unit economics by plan (monthly'!K24,'Unit economics by plan (monthly'!K25),0)</f>
        <v>11.876060819980722</v>
      </c>
      <c r="L8" s="10">
        <f>('Model inputs'!O49+'Gross profit and margin by plan'!L6)*IFERROR('Unit economics by plan (monthly'!L24/SUM('Unit economics by plan (monthly'!L24,'Unit economics by plan (monthly'!L25),0)</f>
        <v>11.899109960843594</v>
      </c>
      <c r="M8" s="10">
        <f>('Model inputs'!O49+'Gross profit and margin by plan'!M6)*IFERROR('Unit economics by plan (monthly'!M24/SUM('Unit economics by plan (monthly'!M24,'Unit economics by plan (monthly'!M25),0)</f>
        <v>11.928556394923298</v>
      </c>
    </row>
    <row r="9" outlineLevel="1">
      <c r="A9" t="inlineStr" s="7">
        <is>
          <t xml:space="preserve">Household</t>
        </is>
      </c>
      <c r="B9" s="10">
        <f>('Model inputs'!O49+'Gross profit and margin by plan'!B6)*IFERROR('Unit economics by plan (monthly'!B25/SUM('Unit economics by plan (monthly'!B24,'Unit economics by plan (monthly'!B25),0)</f>
        <v>12.55718162745488</v>
      </c>
      <c r="C9" s="10">
        <f>('Model inputs'!O49+'Gross profit and margin by plan'!C6)*IFERROR('Unit economics by plan (monthly'!C25/SUM('Unit economics by plan (monthly'!C24,'Unit economics by plan (monthly'!C25),0)</f>
        <v>12.760174598972327</v>
      </c>
      <c r="D9" s="10">
        <f>('Model inputs'!O49+'Gross profit and margin by plan'!D6)*IFERROR('Unit economics by plan (monthly'!D25/SUM('Unit economics by plan (monthly'!D24,'Unit economics by plan (monthly'!D25),0)</f>
        <v>12.904135047127888</v>
      </c>
      <c r="E9" s="10">
        <f>('Model inputs'!O49+'Gross profit and margin by plan'!E6)*IFERROR('Unit economics by plan (monthly'!E25/SUM('Unit economics by plan (monthly'!E24,'Unit economics by plan (monthly'!E25),0)</f>
        <v>13.004563773937353</v>
      </c>
      <c r="F9" s="10">
        <f>('Model inputs'!O49+'Gross profit and margin by plan'!F6)*IFERROR('Unit economics by plan (monthly'!F25/SUM('Unit economics by plan (monthly'!F24,'Unit economics by plan (monthly'!F25),0)</f>
        <v>13.072144149474832</v>
      </c>
      <c r="G9" s="10">
        <f>('Model inputs'!O49+'Gross profit and margin by plan'!G6)*IFERROR('Unit economics by plan, month 6'!B10/SUM('Unit economics by plan, month 6'!B9,'Unit economics by plan, month 6'!B10),0)</f>
        <v>13.114480367672703</v>
      </c>
      <c r="H9" s="10">
        <f>('Model inputs'!O49+'Gross profit and margin by plan'!H6)*IFERROR('Unit economics by plan (monthly'!H25/SUM('Unit economics by plan (monthly'!H24,'Unit economics by plan (monthly'!H25),0)</f>
        <v>13.137133026605033</v>
      </c>
      <c r="I9" s="10">
        <f>('Model inputs'!O49+'Gross profit and margin by plan'!I6)*IFERROR('Unit economics by plan (monthly'!I25/SUM('Unit economics by plan (monthly'!I24,'Unit economics by plan (monthly'!I25),0)</f>
        <v>13.144262541883837</v>
      </c>
      <c r="J9" s="10">
        <f>('Model inputs'!O49+'Gross profit and margin by plan'!J6)*IFERROR('Unit economics by plan (monthly'!J25/SUM('Unit economics by plan (monthly'!J24,'Unit economics by plan (monthly'!J25),0)</f>
        <v>13.13904340193211</v>
      </c>
      <c r="K9" s="10">
        <f>('Model inputs'!O49+'Gross profit and margin by plan'!K6)*IFERROR('Unit economics by plan (monthly'!K25/SUM('Unit economics by plan (monthly'!K24,'Unit economics by plan (monthly'!K25),0)</f>
        <v>13.123939180019278</v>
      </c>
      <c r="L9" s="10">
        <f>('Model inputs'!O49+'Gross profit and margin by plan'!L6)*IFERROR('Unit economics by plan (monthly'!L25/SUM('Unit economics by plan (monthly'!L24,'Unit economics by plan (monthly'!L25),0)</f>
        <v>13.100890039156404</v>
      </c>
      <c r="M9" s="10">
        <f>('Model inputs'!O49+'Gross profit and margin by plan'!M6)*IFERROR('Unit economics by plan (monthly'!M25/SUM('Unit economics by plan (monthly'!M24,'Unit economics by plan (monthly'!M25),0)</f>
        <v>13.071443605076702</v>
      </c>
    </row>
    <row r="10">
      <c r="A10" t="inlineStr" s="5">
        <is>
          <t xml:space="preserve">Infra and inference (USD)</t>
        </is>
      </c>
      <c r="B10" s="9">
        <f>SUM('Gross profit and margin by plan'!B11,'Gross profit and margin by plan'!B12)</f>
        <v>213.957304</v>
      </c>
      <c r="C10" s="9">
        <f>SUM('Gross profit and margin by plan'!C11,'Gross profit and margin by plan'!C12)</f>
        <v>228.16694967999996</v>
      </c>
      <c r="D10" s="9">
        <f>SUM('Gross profit and margin by plan'!D11,'Gross profit and margin by plan'!D12)</f>
        <v>241.63887200559998</v>
      </c>
      <c r="E10" s="9">
        <f>SUM('Gross profit and margin by plan'!E11,'Gross profit and margin by plan'!E12)</f>
        <v>254.42011739615197</v>
      </c>
      <c r="F10" s="9">
        <f>SUM('Gross profit and margin by plan'!F11,'Gross profit and margin by plan'!F12)</f>
        <v>266.5543277009298</v>
      </c>
      <c r="G10" s="9">
        <f>SUM('Gross profit and margin by plan'!G11,'Gross profit and margin by plan'!G12)</f>
        <v>278.0820017904313</v>
      </c>
      <c r="H10" s="9">
        <f>SUM('Gross profit and margin by plan'!H11,'Gross profit and margin by plan'!H12)</f>
        <v>289.0407365436054</v>
      </c>
      <c r="I10" s="9">
        <f>SUM('Gross profit and margin by plan'!I11,'Gross profit and margin by plan'!I12)</f>
        <v>299.46544886963335</v>
      </c>
      <c r="J10" s="9">
        <f>SUM('Gross profit and margin by plan'!J11,'Gross profit and margin by plan'!J12)</f>
        <v>309.3885802720936</v>
      </c>
      <c r="K10" s="9">
        <f>SUM('Gross profit and margin by plan'!K11,'Gross profit and margin by plan'!K12)</f>
        <v>318.84028534299597</v>
      </c>
      <c r="L10" s="9">
        <f>SUM('Gross profit and margin by plan'!L11,'Gross profit and margin by plan'!L12)</f>
        <v>327.8486054634462</v>
      </c>
      <c r="M10" s="9">
        <f>SUM('Gross profit and margin by plan'!M11,'Gross profit and margin by plan'!M12)</f>
        <v>336.4396288858236</v>
      </c>
    </row>
    <row r="11" outlineLevel="1">
      <c r="A11" t="inlineStr" s="7">
        <is>
          <t xml:space="preserve">Classroom</t>
        </is>
      </c>
      <c r="B11" s="10">
        <f>'Unit economics by plan (monthly'!B27+'Gross profit and margin by plan'!B8</f>
        <v>138.21061837254513</v>
      </c>
      <c r="C11" s="10">
        <f>'Unit economics by plan (monthly'!C27+'Gross profit and margin by plan'!C8</f>
        <v>145.98859140102766</v>
      </c>
      <c r="D11" s="10">
        <f>'Unit economics by plan (monthly'!D27+'Gross profit and margin by plan'!D8</f>
        <v>153.58616797287212</v>
      </c>
      <c r="E11" s="10">
        <f>'Unit economics by plan (monthly'!E27+'Gross profit and margin by plan'!E8</f>
        <v>160.99503015546264</v>
      </c>
      <c r="F11" s="10">
        <f>'Unit economics by plan (monthly'!F27+'Gross profit and margin by plan'!F8</f>
        <v>168.21146196204313</v>
      </c>
      <c r="G11" s="10">
        <f>'Unit economics by plan (monthly'!G27+'Gross profit and margin by plan'!G8</f>
        <v>175.23461756049974</v>
      </c>
      <c r="H11" s="10">
        <f>'Unit economics by plan (monthly'!H27+'Gross profit and margin by plan'!H8</f>
        <v>182.06549196372225</v>
      </c>
      <c r="I11" s="10">
        <f>'Unit economics by plan (monthly'!I27+'Gross profit and margin by plan'!I8</f>
        <v>188.7062836987336</v>
      </c>
      <c r="J11" s="10">
        <f>'Unit economics by plan (monthly'!J27+'Gross profit and margin by plan'!J8</f>
        <v>195.15998645146684</v>
      </c>
      <c r="K11" s="10">
        <f>'Unit economics by plan (monthly'!K27+'Gross profit and margin by plan'!K8</f>
        <v>201.43011977777766</v>
      </c>
      <c r="L11" s="10">
        <f>'Unit economics by plan (monthly'!L27+'Gross profit and margin by plan'!L8</f>
        <v>207.52054714990663</v>
      </c>
      <c r="M11" s="10">
        <f>'Unit economics by plan (monthly'!M27+'Gross profit and margin by plan'!M8</f>
        <v>213.43535046831445</v>
      </c>
    </row>
    <row r="12" outlineLevel="1">
      <c r="A12" t="inlineStr" s="7">
        <is>
          <t xml:space="preserve">Household</t>
        </is>
      </c>
      <c r="B12" s="10">
        <f>'Unit economics by plan (monthly'!B28+'Gross profit and margin by plan'!B9</f>
        <v>75.74668562745487</v>
      </c>
      <c r="C12" s="10">
        <f>'Unit economics by plan (monthly'!C28+'Gross profit and margin by plan'!C9</f>
        <v>82.17835827897231</v>
      </c>
      <c r="D12" s="10">
        <f>'Unit economics by plan (monthly'!D28+'Gross profit and margin by plan'!D9</f>
        <v>88.05270403272786</v>
      </c>
      <c r="E12" s="10">
        <f>'Unit economics by plan (monthly'!E28+'Gross profit and margin by plan'!E9</f>
        <v>93.42508724068934</v>
      </c>
      <c r="F12" s="10">
        <f>'Unit economics by plan (monthly'!F28+'Gross profit and margin by plan'!F9</f>
        <v>98.34286573888666</v>
      </c>
      <c r="G12" s="10">
        <f>'Unit economics by plan (monthly'!G28+'Gross profit and margin by plan'!G9</f>
        <v>102.84738422993156</v>
      </c>
      <c r="H12" s="10">
        <f>'Unit economics by plan (monthly'!H28+'Gross profit and margin by plan'!H9</f>
        <v>106.97524457988318</v>
      </c>
      <c r="I12" s="10">
        <f>'Unit economics by plan (monthly'!I28+'Gross profit and margin by plan'!I9</f>
        <v>110.75916517089972</v>
      </c>
      <c r="J12" s="10">
        <f>'Unit economics by plan (monthly'!J28+'Gross profit and margin by plan'!J9</f>
        <v>114.22859382062673</v>
      </c>
      <c r="K12" s="10">
        <f>'Unit economics by plan (monthly'!K28+'Gross profit and margin by plan'!K9</f>
        <v>117.41016556521832</v>
      </c>
      <c r="L12" s="10">
        <f>'Unit economics by plan (monthly'!L28+'Gross profit and margin by plan'!L9</f>
        <v>120.32805831353954</v>
      </c>
      <c r="M12" s="10">
        <f>'Unit economics by plan (monthly'!M28+'Gross profit and margin by plan'!M9</f>
        <v>123.00427841750917</v>
      </c>
    </row>
    <row r="13">
      <c r="A13" t="inlineStr" s="5">
        <is>
          <t xml:space="preserve">Gross profit (USD)</t>
        </is>
      </c>
      <c r="B13" s="9">
        <f>SUM('Gross profit and margin by plan'!B14,'Gross profit and margin by plan'!B15)</f>
        <v>409.494696</v>
      </c>
      <c r="C13" s="9">
        <f>SUM('Gross profit and margin by plan'!C14,'Gross profit and margin by plan'!C15)</f>
        <v>445.84389032</v>
      </c>
      <c r="D13" s="9">
        <f>SUM('Gross profit and margin by plan'!D14,'Gross profit and margin by plan'!D15)</f>
        <v>479.87065079440004</v>
      </c>
      <c r="E13" s="9">
        <f>SUM('Gross profit and margin by plan'!E14,'Gross profit and margin by plan'!E15)</f>
        <v>511.743207079848</v>
      </c>
      <c r="F13" s="9">
        <f>SUM('Gross profit and margin by plan'!F14,'Gross profit and margin by plan'!F15)</f>
        <v>541.6168574119902</v>
      </c>
      <c r="G13" s="9">
        <f>SUM('Gross profit and margin by plan'!G14,'Gross profit and margin by plan'!G15)</f>
        <v>569.6349873106051</v>
      </c>
      <c r="H13" s="9">
        <f>SUM('Gross profit and margin by plan'!H14,'Gross profit and margin by plan'!H15)</f>
        <v>595.9300072625836</v>
      </c>
      <c r="I13" s="9">
        <f>SUM('Gross profit and margin by plan'!I14,'Gross profit and margin by plan'!I15)</f>
        <v>620.6242158502989</v>
      </c>
      <c r="J13" s="9">
        <f>SUM('Gross profit and margin by plan'!J14,'Gross profit and margin by plan'!J15)</f>
        <v>643.8305942759353</v>
      </c>
      <c r="K13" s="9">
        <f>SUM('Gross profit and margin by plan'!K14,'Gross profit and margin by plan'!K15)</f>
        <v>665.6535377567111</v>
      </c>
      <c r="L13" s="9">
        <f>SUM('Gross profit and margin by plan'!L14,'Gross profit and margin by plan'!L15)</f>
        <v>686.1895288283392</v>
      </c>
      <c r="M13" s="9">
        <f>SUM('Gross profit and margin by plan'!M14,'Gross profit and margin by plan'!M15)</f>
        <v>705.5277571914723</v>
      </c>
    </row>
    <row r="14" outlineLevel="1">
      <c r="A14" t="inlineStr" s="7">
        <is>
          <t xml:space="preserve">Classroom</t>
        </is>
      </c>
      <c r="B14" s="10">
        <f>'Unit economics by plan (monthly'!B24-'Gross profit and margin by plan'!B11</f>
        <v>172.08938162745483</v>
      </c>
      <c r="C14" s="10">
        <f>'Unit economics by plan (monthly'!C24-'Gross profit and margin by plan'!C11</f>
        <v>184.00240859897232</v>
      </c>
      <c r="D14" s="10">
        <f>'Unit economics by plan (monthly'!D24-'Gross profit and margin by plan'!D11</f>
        <v>195.5051020271279</v>
      </c>
      <c r="E14" s="10">
        <f>'Unit economics by plan (monthly'!E24-'Gross profit and margin by plan'!E11</f>
        <v>206.62350174453735</v>
      </c>
      <c r="F14" s="10">
        <f>'Unit economics by plan (monthly'!F24-'Gross profit and margin by plan'!F11</f>
        <v>217.37851398095688</v>
      </c>
      <c r="G14" s="10">
        <f>'Unit economics by plan, month 6'!B9-'Gross profit and margin by plan'!G11</f>
        <v>227.7876591042103</v>
      </c>
      <c r="H14" s="10">
        <f>'Unit economics by plan (monthly'!H24-'Gross profit and margin by plan'!H11</f>
        <v>237.86611640104644</v>
      </c>
      <c r="I14" s="10">
        <f>'Unit economics by plan (monthly'!I24-'Gross profit and margin by plan'!I11</f>
        <v>247.62737641509204</v>
      </c>
      <c r="J14" s="10">
        <f>'Unit economics by plan (monthly'!J24-'Gross profit and margin by plan'!J11</f>
        <v>257.08366385894396</v>
      </c>
      <c r="K14" s="10">
        <f>'Unit economics by plan (monthly'!K24-'Gross profit and margin by plan'!K11</f>
        <v>266.2462210233209</v>
      </c>
      <c r="L14" s="10">
        <f>'Unit economics by plan (monthly'!L24-'Gross profit and margin by plan'!L11</f>
        <v>275.12550342715895</v>
      </c>
      <c r="M14" s="10">
        <f>'Unit economics by plan (monthly'!M24-'Gross profit and margin by plan'!M11</f>
        <v>283.73131859143916</v>
      </c>
    </row>
    <row r="15" outlineLevel="1">
      <c r="A15" t="inlineStr" s="7">
        <is>
          <t xml:space="preserve">Household</t>
        </is>
      </c>
      <c r="B15" s="10">
        <f>'Unit economics by plan (monthly'!B25-'Gross profit and margin by plan'!B12</f>
        <v>237.40531437254512</v>
      </c>
      <c r="C15" s="10">
        <f>'Unit economics by plan (monthly'!C25-'Gross profit and margin by plan'!C12</f>
        <v>261.84148172102766</v>
      </c>
      <c r="D15" s="10">
        <f>'Unit economics by plan (monthly'!D25-'Gross profit and margin by plan'!D12</f>
        <v>284.3655487672721</v>
      </c>
      <c r="E15" s="10">
        <f>'Unit economics by plan (monthly'!E25-'Gross profit and margin by plan'!E12</f>
        <v>305.11970533531064</v>
      </c>
      <c r="F15" s="10">
        <f>'Unit economics by plan (monthly'!F25-'Gross profit and margin by plan'!F12</f>
        <v>324.23834343103334</v>
      </c>
      <c r="G15" s="10">
        <f>'Unit economics by plan, month 6'!B10-'Gross profit and margin by plan'!G12</f>
        <v>341.8473282063948</v>
      </c>
      <c r="H15" s="10">
        <f>'Unit economics by plan (monthly'!H25-'Gross profit and margin by plan'!H12</f>
        <v>358.06389086153706</v>
      </c>
      <c r="I15" s="10">
        <f>'Unit economics by plan (monthly'!I25-'Gross profit and margin by plan'!I12</f>
        <v>372.9968394352068</v>
      </c>
      <c r="J15" s="10">
        <f>'Unit economics by plan (monthly'!J25-'Gross profit and margin by plan'!J12</f>
        <v>386.74693041699135</v>
      </c>
      <c r="K15" s="10">
        <f>'Unit economics by plan (monthly'!K25-'Gross profit and margin by plan'!K12</f>
        <v>399.4073167333902</v>
      </c>
      <c r="L15" s="10">
        <f>'Unit economics by plan (monthly'!L25-'Gross profit and margin by plan'!L12</f>
        <v>411.06402540118034</v>
      </c>
      <c r="M15" s="10">
        <f>'Unit economics by plan (monthly'!M25-'Gross profit and margin by plan'!M12</f>
        <v>421.7964386000331</v>
      </c>
    </row>
    <row r="16">
      <c r="A16" t="inlineStr" s="5">
        <is>
          <t xml:space="preserve">Gross margin</t>
        </is>
      </c>
      <c r="B16" s="11">
        <f>IFERROR('Gross profit and margin by plan'!B13/'Unit economics by plan (monthly'!B23,0)</f>
        <v>0.6568183212179927</v>
      </c>
      <c r="C16" s="11">
        <f>IFERROR('Gross profit and margin by plan'!C13/'Unit economics by plan (monthly'!C23,0)</f>
        <v>0.661478812892683</v>
      </c>
      <c r="D16" s="11">
        <f>IFERROR('Gross profit and margin by plan'!D13/'Unit economics by plan (monthly'!D23,0)</f>
        <v>0.6650926088018086</v>
      </c>
      <c r="E16" s="11">
        <f>IFERROR('Gross profit and margin by plan'!E13/'Unit economics by plan (monthly'!E23,0)</f>
        <v>0.6679296577264947</v>
      </c>
      <c r="F16" s="11">
        <f>IFERROR('Gross profit and margin by plan'!F13/'Unit economics by plan (monthly'!F23,0)</f>
        <v>0.6701759075168139</v>
      </c>
      <c r="G16" s="11">
        <f>IFERROR('Gross profit and margin by plan'!G13/'Unit economics by plan, month 6'!B8,0)</f>
        <v>0.6719636324791318</v>
      </c>
      <c r="H16" s="11">
        <f>IFERROR('Gross profit and margin by plan'!H13/'Unit economics by plan (monthly'!H23,0)</f>
        <v>0.6733895006512146</v>
      </c>
      <c r="I16" s="11">
        <f>IFERROR('Gross profit and margin by plan'!I13/'Unit economics by plan (monthly'!I23,0)</f>
        <v>0.6745257985690034</v>
      </c>
      <c r="J16" s="11">
        <f>IFERROR('Gross profit and margin by plan'!J13/'Unit economics by plan (monthly'!J23,0)</f>
        <v>0.6754276576331032</v>
      </c>
      <c r="K16" s="11">
        <f>IFERROR('Gross profit and margin by plan'!K13/'Unit economics by plan (monthly'!K23,0)</f>
        <v>0.6761378508814629</v>
      </c>
      <c r="L16" s="11">
        <f>IFERROR('Gross profit and margin by plan'!L13/'Unit economics by plan (monthly'!L23,0)</f>
        <v>0.6766900628521046</v>
      </c>
      <c r="M16" s="11">
        <f>IFERROR('Gross profit and margin by plan'!M13/'Unit economics by plan (monthly'!M23,0)</f>
        <v>0.6771111712503585</v>
      </c>
    </row>
    <row r="17" outlineLevel="1">
      <c r="A17" t="inlineStr" s="7">
        <is>
          <t xml:space="preserve">Classroom</t>
        </is>
      </c>
      <c r="B17" s="12">
        <f>IFERROR('Gross profit and margin by plan'!B14/'Unit economics by plan (monthly'!B24,0)</f>
        <v>0.5545903371816141</v>
      </c>
      <c r="C17" s="12">
        <f>IFERROR('Gross profit and margin by plan'!C14/'Unit economics by plan (monthly'!C24,0)</f>
        <v>0.5575982635858927</v>
      </c>
      <c r="D17" s="12">
        <f>IFERROR('Gross profit and margin by plan'!D14/'Unit economics by plan (monthly'!D24,0)</f>
        <v>0.5600400778487754</v>
      </c>
      <c r="E17" s="12">
        <f>IFERROR('Gross profit and margin by plan'!E14/'Unit economics by plan (monthly'!E24,0)</f>
        <v>0.5620595367611754</v>
      </c>
      <c r="F17" s="12">
        <f>IFERROR('Gross profit and margin by plan'!F14/'Unit economics by plan (monthly'!F24,0)</f>
        <v>0.5637556148842701</v>
      </c>
      <c r="G17" s="12">
        <f>IFERROR('Gross profit and margin by plan'!G14/'Unit economics by plan, month 6'!B9,0)</f>
        <v>0.5651986808007532</v>
      </c>
      <c r="H17" s="12">
        <f>IFERROR('Gross profit and margin by plan'!H14/'Unit economics by plan (monthly'!H24,0)</f>
        <v>0.5664401337334598</v>
      </c>
      <c r="I17" s="12">
        <f>IFERROR('Gross profit and margin by plan'!I14/'Unit economics by plan (monthly'!I24,0)</f>
        <v>0.5675183902853012</v>
      </c>
      <c r="J17" s="12">
        <f>IFERROR('Gross profit and margin by plan'!J14/'Unit economics by plan (monthly'!J24,0)</f>
        <v>0.568462738354617</v>
      </c>
      <c r="K17" s="12">
        <f>IFERROR('Gross profit and margin by plan'!K14/'Unit economics by plan (monthly'!K24,0)</f>
        <v>0.5692958950355684</v>
      </c>
      <c r="L17" s="12">
        <f>IFERROR('Gross profit and margin by plan'!L14/'Unit economics by plan (monthly'!L24,0)</f>
        <v>0.5700357500039852</v>
      </c>
      <c r="M17" s="12">
        <f>IFERROR('Gross profit and margin by plan'!M14/'Unit economics by plan (monthly'!M24,0)</f>
        <v>0.5706965817479972</v>
      </c>
    </row>
    <row r="18" outlineLevel="1">
      <c r="A18" t="inlineStr" s="7">
        <is>
          <t xml:space="preserve">Household</t>
        </is>
      </c>
      <c r="B18" s="12">
        <f>IFERROR('Gross profit and margin by plan'!B15/'Unit economics by plan (monthly'!B25,0)</f>
        <v>0.7581152742838785</v>
      </c>
      <c r="C18" s="12">
        <f>IFERROR('Gross profit and margin by plan'!C15/'Unit economics by plan (monthly'!C25,0)</f>
        <v>0.761123200688157</v>
      </c>
      <c r="D18" s="12">
        <f>IFERROR('Gross profit and margin by plan'!D15/'Unit economics by plan (monthly'!D25,0)</f>
        <v>0.7635650149510399</v>
      </c>
      <c r="E18" s="12">
        <f>IFERROR('Gross profit and margin by plan'!E15/'Unit economics by plan (monthly'!E25,0)</f>
        <v>0.7655844738634398</v>
      </c>
      <c r="F18" s="12">
        <f>IFERROR('Gross profit and margin by plan'!F15/'Unit economics by plan (monthly'!F25,0)</f>
        <v>0.7672805519865343</v>
      </c>
      <c r="G18" s="12">
        <f>IFERROR('Gross profit and margin by plan'!G15/'Unit economics by plan, month 6'!B10,0)</f>
        <v>0.7687236179030176</v>
      </c>
      <c r="H18" s="12">
        <f>IFERROR('Gross profit and margin by plan'!H15/'Unit economics by plan (monthly'!H25,0)</f>
        <v>0.7699650708357242</v>
      </c>
      <c r="I18" s="12">
        <f>IFERROR('Gross profit and margin by plan'!I15/'Unit economics by plan (monthly'!I25,0)</f>
        <v>0.7710433273875654</v>
      </c>
      <c r="J18" s="12">
        <f>IFERROR('Gross profit and margin by plan'!J15/'Unit economics by plan (monthly'!J25,0)</f>
        <v>0.7719876754568815</v>
      </c>
      <c r="K18" s="12">
        <f>IFERROR('Gross profit and margin by plan'!K15/'Unit economics by plan (monthly'!K25,0)</f>
        <v>0.7728208321378326</v>
      </c>
      <c r="L18" s="12">
        <f>IFERROR('Gross profit and margin by plan'!L15/'Unit economics by plan (monthly'!L25,0)</f>
        <v>0.7735606871062495</v>
      </c>
      <c r="M18" s="12">
        <f>IFERROR('Gross profit and margin by plan'!M15/'Unit economics by plan (monthly'!M25,0)</f>
        <v>0.7742215188502616</v>
      </c>
    </row>
    <row r="19">
      <c r="A19" t="inlineStr" s="5">
        <is>
          <t xml:space="preserve">Clears gross margin bar (1 = yes)</t>
        </is>
      </c>
      <c r="B19" s="16">
        <f>IF(IF(IF(ISERROR('Gross profit and margin by plan'!B16&gt;='Model inputs'!O34),'Gross profit and margin by plan'!B16&gt;='Model inputs'!O34,IF(OR('Gross profit and margin by plan'!B16="",'Model inputs'!O34=""),"",'Gross profit and margin by plan'!B16&gt;='Model inputs'!O34))="",FALSE,IF(ISERROR('Gross profit and margin by plan'!B16&gt;='Model inputs'!O34),'Gross profit and margin by plan'!B16&gt;='Model inputs'!O34,IF(OR('Gross profit and margin by plan'!B16="",'Model inputs'!O34=""),"",'Gross profit and margin by plan'!B16&gt;='Model inputs'!O34))),1,0)</f>
        <v>1</v>
      </c>
      <c r="C19" s="16">
        <f>IF(IF(IF(ISERROR('Gross profit and margin by plan'!C16&gt;='Model inputs'!O34),'Gross profit and margin by plan'!C16&gt;='Model inputs'!O34,IF(OR('Gross profit and margin by plan'!C16="",'Model inputs'!O34=""),"",'Gross profit and margin by plan'!C16&gt;='Model inputs'!O34))="",FALSE,IF(ISERROR('Gross profit and margin by plan'!C16&gt;='Model inputs'!O34),'Gross profit and margin by plan'!C16&gt;='Model inputs'!O34,IF(OR('Gross profit and margin by plan'!C16="",'Model inputs'!O34=""),"",'Gross profit and margin by plan'!C16&gt;='Model inputs'!O34))),1,0)</f>
        <v>1</v>
      </c>
      <c r="D19" s="16">
        <f>IF(IF(IF(ISERROR('Gross profit and margin by plan'!D16&gt;='Model inputs'!O34),'Gross profit and margin by plan'!D16&gt;='Model inputs'!O34,IF(OR('Gross profit and margin by plan'!D16="",'Model inputs'!O34=""),"",'Gross profit and margin by plan'!D16&gt;='Model inputs'!O34))="",FALSE,IF(ISERROR('Gross profit and margin by plan'!D16&gt;='Model inputs'!O34),'Gross profit and margin by plan'!D16&gt;='Model inputs'!O34,IF(OR('Gross profit and margin by plan'!D16="",'Model inputs'!O34=""),"",'Gross profit and margin by plan'!D16&gt;='Model inputs'!O34))),1,0)</f>
        <v>1</v>
      </c>
      <c r="E19" s="16">
        <f>IF(IF(IF(ISERROR('Gross profit and margin by plan'!E16&gt;='Model inputs'!O34),'Gross profit and margin by plan'!E16&gt;='Model inputs'!O34,IF(OR('Gross profit and margin by plan'!E16="",'Model inputs'!O34=""),"",'Gross profit and margin by plan'!E16&gt;='Model inputs'!O34))="",FALSE,IF(ISERROR('Gross profit and margin by plan'!E16&gt;='Model inputs'!O34),'Gross profit and margin by plan'!E16&gt;='Model inputs'!O34,IF(OR('Gross profit and margin by plan'!E16="",'Model inputs'!O34=""),"",'Gross profit and margin by plan'!E16&gt;='Model inputs'!O34))),1,0)</f>
        <v>1</v>
      </c>
      <c r="F19" s="16">
        <f>IF(IF(IF(ISERROR('Gross profit and margin by plan'!F16&gt;='Model inputs'!O34),'Gross profit and margin by plan'!F16&gt;='Model inputs'!O34,IF(OR('Gross profit and margin by plan'!F16="",'Model inputs'!O34=""),"",'Gross profit and margin by plan'!F16&gt;='Model inputs'!O34))="",FALSE,IF(ISERROR('Gross profit and margin by plan'!F16&gt;='Model inputs'!O34),'Gross profit and margin by plan'!F16&gt;='Model inputs'!O34,IF(OR('Gross profit and margin by plan'!F16="",'Model inputs'!O34=""),"",'Gross profit and margin by plan'!F16&gt;='Model inputs'!O34))),1,0)</f>
        <v>1</v>
      </c>
      <c r="G19" s="16">
        <f>IF(IF(IF(ISERROR('Gross profit and margin by plan'!G16&gt;='Model inputs'!O34),'Gross profit and margin by plan'!G16&gt;='Model inputs'!O34,IF(OR('Gross profit and margin by plan'!G16="",'Model inputs'!O34=""),"",'Gross profit and margin by plan'!G16&gt;='Model inputs'!O34))="",FALSE,IF(ISERROR('Gross profit and margin by plan'!G16&gt;='Model inputs'!O34),'Gross profit and margin by plan'!G16&gt;='Model inputs'!O34,IF(OR('Gross profit and margin by plan'!G16="",'Model inputs'!O34=""),"",'Gross profit and margin by plan'!G16&gt;='Model inputs'!O34))),1,0)</f>
        <v>1</v>
      </c>
      <c r="H19" s="16">
        <f>IF(IF(IF(ISERROR('Gross profit and margin by plan'!H16&gt;='Model inputs'!O34),'Gross profit and margin by plan'!H16&gt;='Model inputs'!O34,IF(OR('Gross profit and margin by plan'!H16="",'Model inputs'!O34=""),"",'Gross profit and margin by plan'!H16&gt;='Model inputs'!O34))="",FALSE,IF(ISERROR('Gross profit and margin by plan'!H16&gt;='Model inputs'!O34),'Gross profit and margin by plan'!H16&gt;='Model inputs'!O34,IF(OR('Gross profit and margin by plan'!H16="",'Model inputs'!O34=""),"",'Gross profit and margin by plan'!H16&gt;='Model inputs'!O34))),1,0)</f>
        <v>1</v>
      </c>
      <c r="I19" s="16">
        <f>IF(IF(IF(ISERROR('Gross profit and margin by plan'!I16&gt;='Model inputs'!O34),'Gross profit and margin by plan'!I16&gt;='Model inputs'!O34,IF(OR('Gross profit and margin by plan'!I16="",'Model inputs'!O34=""),"",'Gross profit and margin by plan'!I16&gt;='Model inputs'!O34))="",FALSE,IF(ISERROR('Gross profit and margin by plan'!I16&gt;='Model inputs'!O34),'Gross profit and margin by plan'!I16&gt;='Model inputs'!O34,IF(OR('Gross profit and margin by plan'!I16="",'Model inputs'!O34=""),"",'Gross profit and margin by plan'!I16&gt;='Model inputs'!O34))),1,0)</f>
        <v>1</v>
      </c>
      <c r="J19" s="16">
        <f>IF(IF(IF(ISERROR('Gross profit and margin by plan'!J16&gt;='Model inputs'!O34),'Gross profit and margin by plan'!J16&gt;='Model inputs'!O34,IF(OR('Gross profit and margin by plan'!J16="",'Model inputs'!O34=""),"",'Gross profit and margin by plan'!J16&gt;='Model inputs'!O34))="",FALSE,IF(ISERROR('Gross profit and margin by plan'!J16&gt;='Model inputs'!O34),'Gross profit and margin by plan'!J16&gt;='Model inputs'!O34,IF(OR('Gross profit and margin by plan'!J16="",'Model inputs'!O34=""),"",'Gross profit and margin by plan'!J16&gt;='Model inputs'!O34))),1,0)</f>
        <v>1</v>
      </c>
      <c r="K19" s="16">
        <f>IF(IF(IF(ISERROR('Gross profit and margin by plan'!K16&gt;='Model inputs'!O34),'Gross profit and margin by plan'!K16&gt;='Model inputs'!O34,IF(OR('Gross profit and margin by plan'!K16="",'Model inputs'!O34=""),"",'Gross profit and margin by plan'!K16&gt;='Model inputs'!O34))="",FALSE,IF(ISERROR('Gross profit and margin by plan'!K16&gt;='Model inputs'!O34),'Gross profit and margin by plan'!K16&gt;='Model inputs'!O34,IF(OR('Gross profit and margin by plan'!K16="",'Model inputs'!O34=""),"",'Gross profit and margin by plan'!K16&gt;='Model inputs'!O34))),1,0)</f>
        <v>1</v>
      </c>
      <c r="L19" s="16">
        <f>IF(IF(IF(ISERROR('Gross profit and margin by plan'!L16&gt;='Model inputs'!O34),'Gross profit and margin by plan'!L16&gt;='Model inputs'!O34,IF(OR('Gross profit and margin by plan'!L16="",'Model inputs'!O34=""),"",'Gross profit and margin by plan'!L16&gt;='Model inputs'!O34))="",FALSE,IF(ISERROR('Gross profit and margin by plan'!L16&gt;='Model inputs'!O34),'Gross profit and margin by plan'!L16&gt;='Model inputs'!O34,IF(OR('Gross profit and margin by plan'!L16="",'Model inputs'!O34=""),"",'Gross profit and margin by plan'!L16&gt;='Model inputs'!O34))),1,0)</f>
        <v>1</v>
      </c>
      <c r="M19" s="16">
        <f>IF(IF(IF(ISERROR('Gross profit and margin by plan'!M16&gt;='Model inputs'!O34),'Gross profit and margin by plan'!M16&gt;='Model inputs'!O34,IF(OR('Gross profit and margin by plan'!M16="",'Model inputs'!O34=""),"",'Gross profit and margin by plan'!M16&gt;='Model inputs'!O34))="",FALSE,IF(ISERROR('Gross profit and margin by plan'!M16&gt;='Model inputs'!O34),'Gross profit and margin by plan'!M16&gt;='Model inputs'!O34,IF(OR('Gross profit and margin by plan'!M16="",'Model inputs'!O34=""),"",'Gross profit and margin by plan'!M16&gt;='Model inputs'!O34))),1,0)</f>
        <v>1</v>
      </c>
    </row>
  </sheetData>
  <mergeCells count="1">
    <mergeCell ref="A1:M1"/>
  </mergeCells>
</worksheet>
</file>

<file path=xl/worksheets/sheet4.xml><?xml version="1.0" encoding="utf-8"?>
<worksheet xmlns="http://schemas.openxmlformats.org/spreadsheetml/2006/main">
  <dimension ref="A1:O429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7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2026-09</t>
        </is>
      </c>
      <c r="C5" t="inlineStr" s="15">
        <is>
          <t xml:space="preserve">2026-10</t>
        </is>
      </c>
      <c r="D5" t="inlineStr" s="4">
        <is>
          <t xml:space="preserve">2026-11</t>
        </is>
      </c>
      <c r="E5" t="inlineStr" s="4">
        <is>
          <t xml:space="preserve">2026-12</t>
        </is>
      </c>
      <c r="F5" t="inlineStr" s="15">
        <is>
          <t xml:space="preserve">2027-01</t>
        </is>
      </c>
      <c r="G5" t="inlineStr" s="4">
        <is>
          <t xml:space="preserve">2027-02</t>
        </is>
      </c>
      <c r="H5" t="inlineStr" s="4">
        <is>
          <t xml:space="preserve">2027-03</t>
        </is>
      </c>
      <c r="I5" t="inlineStr" s="15">
        <is>
          <t xml:space="preserve">2027-04</t>
        </is>
      </c>
      <c r="J5" t="inlineStr" s="4">
        <is>
          <t xml:space="preserve">2027-05</t>
        </is>
      </c>
      <c r="K5" t="inlineStr" s="4">
        <is>
          <t xml:space="preserve">2027-06</t>
        </is>
      </c>
      <c r="L5" t="inlineStr" s="15">
        <is>
          <t xml:space="preserve">2027-07</t>
        </is>
      </c>
      <c r="M5" t="inlineStr" s="4">
        <is>
          <t xml:space="preserve">2027-08</t>
        </is>
      </c>
      <c r="N5" t="inlineStr" s="4">
        <is>
          <t xml:space="preserve">2027-09</t>
        </is>
      </c>
      <c r="O5" t="inlineStr" s="4">
        <is>
          <t xml:space="preserve">Value</t>
        </is>
      </c>
    </row>
    <row r="6">
      <c r="A6" t="inlineStr" s="18">
        <is>
          <t xml:space="preserve">Churned customers</t>
        </is>
      </c>
      <c r="B6" s="6">
        <f>SUM('Model inputs'!B7,'Model inputs'!B8)</f>
        <v>0</v>
      </c>
      <c r="C6" s="6">
        <f>SUM('Model inputs'!C7,'Model inputs'!C8)</f>
        <v>3.5</v>
      </c>
      <c r="D6" s="6">
        <f>SUM('Model inputs'!D7,'Model inputs'!D8)</f>
        <v>3.9049999999999994</v>
      </c>
      <c r="E6" s="6">
        <f>SUM('Model inputs'!E7,'Model inputs'!E8)</f>
        <v>4.278649999999999</v>
      </c>
      <c r="F6" s="6">
        <f>SUM('Model inputs'!F7,'Model inputs'!F8)</f>
        <v>4.623426499999999</v>
      </c>
      <c r="G6" s="6">
        <f>SUM('Model inputs'!G7,'Model inputs'!G8)</f>
        <v>4.941608825</v>
      </c>
      <c r="H6" s="6">
        <f>SUM('Model inputs'!H7,'Model inputs'!H8)</f>
        <v>5.23529487065</v>
      </c>
    </row>
    <row r="7" outlineLevel="1">
      <c r="A7" t="inlineStr" s="19">
        <is>
          <t xml:space="preserve">Churned customers &gt; Classroom</t>
        </is>
      </c>
      <c r="B7" s="8">
        <f>0</f>
        <v>0</v>
      </c>
      <c r="C7" s="8">
        <f>'Model inputs'!B23*'Model inputs'!O63</f>
        <v>0.3</v>
      </c>
      <c r="D7" s="8">
        <f>'Model inputs'!C23*'Model inputs'!O63</f>
        <v>0.32099999999999995</v>
      </c>
      <c r="E7" s="8">
        <f>'Model inputs'!D23*'Model inputs'!O63</f>
        <v>0.34136999999999995</v>
      </c>
      <c r="F7" s="8">
        <f>'Model inputs'!E23*'Model inputs'!O63</f>
        <v>0.3611289</v>
      </c>
      <c r="G7" s="8">
        <f>'Model inputs'!F23*'Model inputs'!O63</f>
        <v>0.38029503299999995</v>
      </c>
      <c r="H7" s="8">
        <f>'Model inputs'!G23*'Model inputs'!O63</f>
        <v>0.39888618201</v>
      </c>
    </row>
    <row r="8" outlineLevel="1">
      <c r="A8" t="inlineStr" s="19">
        <is>
          <t xml:space="preserve">Churned customers &gt; Household</t>
        </is>
      </c>
      <c r="B8" s="8">
        <f>0</f>
        <v>0</v>
      </c>
      <c r="C8" s="8">
        <f>'Model inputs'!B24*'Model inputs'!O64</f>
        <v>3.2</v>
      </c>
      <c r="D8" s="8">
        <f>'Model inputs'!C24*'Model inputs'!O64</f>
        <v>3.5839999999999996</v>
      </c>
      <c r="E8" s="8">
        <f>'Model inputs'!D24*'Model inputs'!O64</f>
        <v>3.9372799999999994</v>
      </c>
      <c r="F8" s="8">
        <f>'Model inputs'!E24*'Model inputs'!O64</f>
        <v>4.262297599999999</v>
      </c>
      <c r="G8" s="8">
        <f>'Model inputs'!F24*'Model inputs'!O64</f>
        <v>4.561313792</v>
      </c>
      <c r="H8" s="8">
        <f>'Model inputs'!G24*'Model inputs'!O64</f>
        <v>4.83640868864</v>
      </c>
    </row>
    <row r="9">
      <c r="A9" t="inlineStr" s="18">
        <is>
          <t xml:space="preserve">Churned customers</t>
        </is>
      </c>
      <c r="B9" s="6">
        <f>IF('Model inputs'!B6="","",'Model inputs'!B6)</f>
        <v>0</v>
      </c>
      <c r="C9" s="6">
        <f>IF('Model inputs'!C6="","",'Model inputs'!C6)</f>
        <v>3.5</v>
      </c>
      <c r="D9" s="6">
        <f>IF('Model inputs'!D6="","",'Model inputs'!D6)</f>
        <v>3.9049999999999994</v>
      </c>
      <c r="E9" s="6">
        <f>IF('Model inputs'!E6="","",'Model inputs'!E6)</f>
        <v>4.278649999999999</v>
      </c>
      <c r="F9" s="6">
        <f>IF('Model inputs'!F6="","",'Model inputs'!F6)</f>
        <v>4.623426499999999</v>
      </c>
      <c r="G9" s="6">
        <f>IF('Model inputs'!G6="","",'Model inputs'!G6)</f>
        <v>4.941608825</v>
      </c>
      <c r="H9" s="6">
        <f>IF('Model inputs'!H6="","",'Model inputs'!H6)</f>
        <v>5.23529487065</v>
      </c>
      <c r="I9" s="6">
        <f>SUM('Model inputs'!I10,'Model inputs'!I11)</f>
        <v>5.5064155900984995</v>
      </c>
      <c r="J9" s="6">
        <f>SUM('Model inputs'!J10,'Model inputs'!J11)</f>
        <v>5.756748322718104</v>
      </c>
      <c r="K9" s="6">
        <f>SUM('Model inputs'!K10,'Model inputs'!K11)</f>
        <v>5.987929057333316</v>
      </c>
      <c r="L9" s="6">
        <f>SUM('Model inputs'!L10,'Model inputs'!L11)</f>
        <v>6.201463715166331</v>
      </c>
      <c r="M9" s="6">
        <f>SUM('Model inputs'!M10,'Model inputs'!M11)</f>
        <v>6.398738530900115</v>
      </c>
      <c r="N9" s="6">
        <f>SUM('Model inputs'!N10,'Model inputs'!N11)</f>
        <v>6.581029603986783</v>
      </c>
    </row>
    <row r="10" outlineLevel="1">
      <c r="A10" t="inlineStr" s="19">
        <is>
          <t xml:space="preserve">Churned customers &gt; Classroom</t>
        </is>
      </c>
      <c r="B10" s="8">
        <f>IF('Model inputs'!B7="","",'Model inputs'!B7)</f>
        <v>0</v>
      </c>
      <c r="C10" s="8">
        <f>IF('Model inputs'!C7="","",'Model inputs'!C7)</f>
        <v>0.3</v>
      </c>
      <c r="D10" s="8">
        <f>IF('Model inputs'!D7="","",'Model inputs'!D7)</f>
        <v>0.32099999999999995</v>
      </c>
      <c r="E10" s="8">
        <f>IF('Model inputs'!E7="","",'Model inputs'!E7)</f>
        <v>0.34136999999999995</v>
      </c>
      <c r="F10" s="8">
        <f>IF('Model inputs'!F7="","",'Model inputs'!F7)</f>
        <v>0.3611289</v>
      </c>
      <c r="G10" s="8">
        <f>IF('Model inputs'!G7="","",'Model inputs'!G7)</f>
        <v>0.38029503299999995</v>
      </c>
      <c r="H10" s="8">
        <f>IF('Model inputs'!H7="","",'Model inputs'!H7)</f>
        <v>0.39888618201</v>
      </c>
      <c r="I10" s="8">
        <f>'Model inputs'!H23*'Model inputs'!O63</f>
        <v>0.4169195965497</v>
      </c>
      <c r="J10" s="8">
        <f>'Model inputs'!I26*'Model inputs'!O63</f>
        <v>0.434412008653209</v>
      </c>
      <c r="K10" s="8">
        <f>'Model inputs'!J26*'Model inputs'!O63</f>
        <v>0.4513796483936127</v>
      </c>
      <c r="L10" s="8">
        <f>'Model inputs'!K26*'Model inputs'!O63</f>
        <v>0.4678382589418043</v>
      </c>
      <c r="M10" s="8">
        <f>'Model inputs'!L26*'Model inputs'!O63</f>
        <v>0.4838031111735502</v>
      </c>
      <c r="N10" s="8">
        <f>'Model inputs'!M26*'Model inputs'!O63</f>
        <v>0.4992890178383437</v>
      </c>
    </row>
    <row r="11" outlineLevel="1">
      <c r="A11" t="inlineStr" s="19">
        <is>
          <t xml:space="preserve">Churned customers &gt; Household</t>
        </is>
      </c>
      <c r="B11" s="8">
        <f>IF('Model inputs'!B8="","",'Model inputs'!B8)</f>
        <v>0</v>
      </c>
      <c r="C11" s="8">
        <f>IF('Model inputs'!C8="","",'Model inputs'!C8)</f>
        <v>3.2</v>
      </c>
      <c r="D11" s="8">
        <f>IF('Model inputs'!D8="","",'Model inputs'!D8)</f>
        <v>3.5839999999999996</v>
      </c>
      <c r="E11" s="8">
        <f>IF('Model inputs'!E8="","",'Model inputs'!E8)</f>
        <v>3.9372799999999994</v>
      </c>
      <c r="F11" s="8">
        <f>IF('Model inputs'!F8="","",'Model inputs'!F8)</f>
        <v>4.262297599999999</v>
      </c>
      <c r="G11" s="8">
        <f>IF('Model inputs'!G8="","",'Model inputs'!G8)</f>
        <v>4.561313792</v>
      </c>
      <c r="H11" s="8">
        <f>IF('Model inputs'!H8="","",'Model inputs'!H8)</f>
        <v>4.83640868864</v>
      </c>
      <c r="I11" s="8">
        <f>'Model inputs'!H24*'Model inputs'!O64</f>
        <v>5.089495993548799</v>
      </c>
      <c r="J11" s="8">
        <f>'Model inputs'!I27*'Model inputs'!O64</f>
        <v>5.322336314064895</v>
      </c>
      <c r="K11" s="8">
        <f>'Model inputs'!J27*'Model inputs'!O64</f>
        <v>5.536549408939703</v>
      </c>
      <c r="L11" s="8">
        <f>'Model inputs'!K27*'Model inputs'!O64</f>
        <v>5.733625456224527</v>
      </c>
      <c r="M11" s="8">
        <f>'Model inputs'!L27*'Model inputs'!O64</f>
        <v>5.9149354197265644</v>
      </c>
      <c r="N11" s="8">
        <f>'Model inputs'!M27*'Model inputs'!O64</f>
        <v>6.08174058614844</v>
      </c>
    </row>
    <row r="12">
      <c r="A12" t="inlineStr" s="18">
        <is>
          <t xml:space="preserve">Churned customers</t>
        </is>
      </c>
      <c r="B12" s="6">
        <f>SUM('Model inputs'!B13,'Model inputs'!B14)</f>
        <v>0</v>
      </c>
      <c r="C12" s="6">
        <f>SUM('Model inputs'!C13,'Model inputs'!C14)</f>
        <v>6.6</v>
      </c>
      <c r="D12" s="6">
        <f>SUM('Model inputs'!D13,'Model inputs'!D14)</f>
        <v>6.9239999999999995</v>
      </c>
      <c r="E12" s="6">
        <f>SUM('Model inputs'!E13,'Model inputs'!E14)</f>
        <v>7.201560000000001</v>
      </c>
      <c r="F12" s="6">
        <f>SUM('Model inputs'!F13,'Model inputs'!F14)</f>
        <v>7.4395164</v>
      </c>
      <c r="G12" s="6">
        <f>SUM('Model inputs'!G13,'Model inputs'!G14)</f>
        <v>7.643687916000001</v>
      </c>
      <c r="H12" s="6">
        <f>SUM('Model inputs'!H13,'Model inputs'!H14)</f>
        <v>7.8190277660400005</v>
      </c>
    </row>
    <row r="13" outlineLevel="1">
      <c r="A13" t="inlineStr" s="19">
        <is>
          <t xml:space="preserve">Churned customers &gt; Classroom</t>
        </is>
      </c>
      <c r="B13" s="8">
        <f>'Model inputs'!B7</f>
        <v>0</v>
      </c>
      <c r="C13" s="8">
        <f>'Model inputs'!B29*'Model inputs'!O190</f>
        <v>0.6</v>
      </c>
      <c r="D13" s="8">
        <f>'Model inputs'!C29*'Model inputs'!O190</f>
        <v>0.624</v>
      </c>
      <c r="E13" s="8">
        <f>'Model inputs'!D29*'Model inputs'!O190</f>
        <v>0.6465599999999999</v>
      </c>
      <c r="F13" s="8">
        <f>'Model inputs'!E29*'Model inputs'!O190</f>
        <v>0.6677664</v>
      </c>
      <c r="G13" s="8">
        <f>'Model inputs'!F29*'Model inputs'!O190</f>
        <v>0.687700416</v>
      </c>
      <c r="H13" s="8">
        <f>'Model inputs'!G29*'Model inputs'!O190</f>
        <v>0.7064383910400001</v>
      </c>
    </row>
    <row r="14" outlineLevel="1">
      <c r="A14" t="inlineStr" s="19">
        <is>
          <t xml:space="preserve">Churned customers &gt; Household</t>
        </is>
      </c>
      <c r="B14" s="8">
        <f>'Model inputs'!B8</f>
        <v>0</v>
      </c>
      <c r="C14" s="8">
        <f>'Model inputs'!B30*'Model inputs'!O191</f>
        <v>6</v>
      </c>
      <c r="D14" s="8">
        <f>'Model inputs'!C30*'Model inputs'!O191</f>
        <v>6.3</v>
      </c>
      <c r="E14" s="8">
        <f>'Model inputs'!D30*'Model inputs'!O191</f>
        <v>6.555000000000001</v>
      </c>
      <c r="F14" s="8">
        <f>'Model inputs'!E30*'Model inputs'!O191</f>
        <v>6.77175</v>
      </c>
      <c r="G14" s="8">
        <f>'Model inputs'!F30*'Model inputs'!O191</f>
        <v>6.955987500000001</v>
      </c>
      <c r="H14" s="8">
        <f>'Model inputs'!G30*'Model inputs'!O191</f>
        <v>7.112589375000001</v>
      </c>
    </row>
    <row r="15">
      <c r="A15" t="inlineStr" s="18">
        <is>
          <t xml:space="preserve">Churned customers</t>
        </is>
      </c>
      <c r="B15" s="6">
        <f>SUM('Model inputs'!B16,'Model inputs'!B17)</f>
        <v>0</v>
      </c>
      <c r="C15" s="6">
        <f>SUM('Model inputs'!C16,'Model inputs'!C17)</f>
        <v>3.5</v>
      </c>
      <c r="D15" s="6">
        <f>SUM('Model inputs'!D16,'Model inputs'!D17)</f>
        <v>4.605</v>
      </c>
      <c r="E15" s="6">
        <f>SUM('Model inputs'!E16,'Model inputs'!E17)</f>
        <v>5.62565</v>
      </c>
      <c r="F15" s="6">
        <f>SUM('Model inputs'!F16,'Model inputs'!F17)</f>
        <v>6.5685765</v>
      </c>
      <c r="G15" s="6">
        <f>SUM('Model inputs'!G16,'Model inputs'!G17)</f>
        <v>7.439879524999999</v>
      </c>
      <c r="H15" s="6">
        <f>SUM('Model inputs'!H16,'Model inputs'!H17)</f>
        <v>8.245174633649999</v>
      </c>
    </row>
    <row r="16" outlineLevel="1">
      <c r="A16" t="inlineStr" s="19">
        <is>
          <t xml:space="preserve">Churned customers &gt; Classroom</t>
        </is>
      </c>
      <c r="B16" s="8">
        <f>'Model inputs'!B7</f>
        <v>0</v>
      </c>
      <c r="C16" s="8">
        <f>'Model inputs'!B32*'Model inputs'!O193</f>
        <v>0.3</v>
      </c>
      <c r="D16" s="8">
        <f>'Model inputs'!C32*'Model inputs'!O193</f>
        <v>0.38099999999999995</v>
      </c>
      <c r="E16" s="8">
        <f>'Model inputs'!D32*'Model inputs'!O193</f>
        <v>0.45957</v>
      </c>
      <c r="F16" s="8">
        <f>'Model inputs'!E32*'Model inputs'!O193</f>
        <v>0.5357829</v>
      </c>
      <c r="G16" s="8">
        <f>'Model inputs'!F32*'Model inputs'!O193</f>
        <v>0.6097094129999999</v>
      </c>
      <c r="H16" s="8">
        <f>'Model inputs'!G32*'Model inputs'!O193</f>
        <v>0.6814181306099999</v>
      </c>
    </row>
    <row r="17" outlineLevel="1">
      <c r="A17" t="inlineStr" s="19">
        <is>
          <t xml:space="preserve">Churned customers &gt; Household</t>
        </is>
      </c>
      <c r="B17" s="8">
        <f>'Model inputs'!B8</f>
        <v>0</v>
      </c>
      <c r="C17" s="8">
        <f>'Model inputs'!B33*'Model inputs'!O194</f>
        <v>3.2</v>
      </c>
      <c r="D17" s="8">
        <f>'Model inputs'!C33*'Model inputs'!O194</f>
        <v>4.224</v>
      </c>
      <c r="E17" s="8">
        <f>'Model inputs'!D33*'Model inputs'!O194</f>
        <v>5.16608</v>
      </c>
      <c r="F17" s="8">
        <f>'Model inputs'!E33*'Model inputs'!O194</f>
        <v>6.0327936</v>
      </c>
      <c r="G17" s="8">
        <f>'Model inputs'!F33*'Model inputs'!O194</f>
        <v>6.830170111999999</v>
      </c>
      <c r="H17" s="8">
        <f>'Model inputs'!G33*'Model inputs'!O194</f>
        <v>7.56375650304</v>
      </c>
    </row>
    <row r="18">
      <c r="A18" t="inlineStr" s="18">
        <is>
          <t xml:space="preserve">Cost per story, selected policy (USD, estimate) · Unit economics by plan (monthly)</t>
        </is>
      </c>
      <c r="O18" s="20">
        <f>SUM('Model inputs'!O234,'Model inputs'!O235)+SUM('Model inputs'!O230,'Model inputs'!O231,'Model inputs'!O232)</f>
        <v>0.1959</v>
      </c>
    </row>
    <row r="19">
      <c r="A19" t="inlineStr" s="18">
        <is>
          <t xml:space="preserve">Ending cash (USD) · Main Scenario</t>
        </is>
      </c>
      <c r="H19" s="10">
        <f>'Model inputs'!G166+'Model inputs'!H70</f>
        <v>4658.204288916842</v>
      </c>
    </row>
    <row r="20">
      <c r="A20" t="inlineStr" s="18">
        <is>
          <t xml:space="preserve">Ending cash (USD) · Downside</t>
        </is>
      </c>
      <c r="H20" s="10">
        <f>'Model inputs'!G167+'Model inputs'!H71</f>
        <v>3275.383651235836</v>
      </c>
    </row>
    <row r="21">
      <c r="A21" t="inlineStr" s="18">
        <is>
          <t xml:space="preserve">Ending cash (USD) · Growth</t>
        </is>
      </c>
      <c r="H21" s="10">
        <f>'Model inputs'!G168+'Model inputs'!H72</f>
        <v>5331.668318307923</v>
      </c>
    </row>
    <row r="22">
      <c r="A22" t="inlineStr" s="18">
        <is>
          <t xml:space="preserve">Ending customers</t>
        </is>
      </c>
      <c r="B22" s="6">
        <f>SUM('Model inputs'!B23,'Model inputs'!B24)</f>
        <v>50</v>
      </c>
      <c r="C22" s="6">
        <f>SUM('Model inputs'!C23,'Model inputs'!C24)</f>
        <v>55.5</v>
      </c>
      <c r="D22" s="6">
        <f>SUM('Model inputs'!D23,'Model inputs'!D24)</f>
        <v>60.59499999999999</v>
      </c>
      <c r="E22" s="6">
        <f>SUM('Model inputs'!E23,'Model inputs'!E24)</f>
        <v>65.31635</v>
      </c>
      <c r="F22" s="6">
        <f>SUM('Model inputs'!F23,'Model inputs'!F24)</f>
        <v>69.69292349999999</v>
      </c>
      <c r="G22" s="6">
        <f>SUM('Model inputs'!G23,'Model inputs'!G24)</f>
        <v>73.751314675</v>
      </c>
      <c r="H22" s="6">
        <f>SUM('Model inputs'!H23,'Model inputs'!H24)</f>
        <v>77.51601980435</v>
      </c>
    </row>
    <row r="23" outlineLevel="1">
      <c r="A23" t="inlineStr" s="19">
        <is>
          <t xml:space="preserve">Ending customers &gt; Classroom</t>
        </is>
      </c>
      <c r="B23" s="8">
        <f>IF('Model inputs'!O237="","",'Model inputs'!O237)</f>
        <v>10</v>
      </c>
      <c r="C23" s="8">
        <f>'Model inputs'!B23+'Model inputs'!C74-'Model inputs'!C7</f>
        <v>10.7</v>
      </c>
      <c r="D23" s="8">
        <f>'Model inputs'!C23+'Model inputs'!D74-'Model inputs'!D7</f>
        <v>11.379</v>
      </c>
      <c r="E23" s="8">
        <f>'Model inputs'!D23+'Model inputs'!E74-'Model inputs'!E7</f>
        <v>12.03763</v>
      </c>
      <c r="F23" s="8">
        <f>'Model inputs'!E23+'Model inputs'!F74-'Model inputs'!F7</f>
        <v>12.6765011</v>
      </c>
      <c r="G23" s="8">
        <f>'Model inputs'!F23+'Model inputs'!G74-'Model inputs'!G7</f>
        <v>13.296206067</v>
      </c>
      <c r="H23" s="8">
        <f>'Model inputs'!G23+'Model inputs'!H74-'Model inputs'!H7</f>
        <v>13.89731988499</v>
      </c>
    </row>
    <row r="24" outlineLevel="1">
      <c r="A24" t="inlineStr" s="19">
        <is>
          <t xml:space="preserve">Ending customers &gt; Household</t>
        </is>
      </c>
      <c r="B24" s="8">
        <f>IF('Model inputs'!O238="","",'Model inputs'!O238)</f>
        <v>40</v>
      </c>
      <c r="C24" s="8">
        <f>'Model inputs'!B24+'Model inputs'!C75-'Model inputs'!C8</f>
        <v>44.8</v>
      </c>
      <c r="D24" s="8">
        <f>'Model inputs'!C24+'Model inputs'!D75-'Model inputs'!D8</f>
        <v>49.215999999999994</v>
      </c>
      <c r="E24" s="8">
        <f>'Model inputs'!D24+'Model inputs'!E75-'Model inputs'!E8</f>
        <v>53.27871999999999</v>
      </c>
      <c r="F24" s="8">
        <f>'Model inputs'!E24+'Model inputs'!F75-'Model inputs'!F8</f>
        <v>57.016422399999996</v>
      </c>
      <c r="G24" s="8">
        <f>'Model inputs'!F24+'Model inputs'!G75-'Model inputs'!G8</f>
        <v>60.455108607999996</v>
      </c>
      <c r="H24" s="8">
        <f>'Model inputs'!G24+'Model inputs'!H75-'Model inputs'!H8</f>
        <v>63.61869991935999</v>
      </c>
    </row>
    <row r="25">
      <c r="A25" t="inlineStr" s="18">
        <is>
          <t xml:space="preserve">Ending customers</t>
        </is>
      </c>
      <c r="B25" s="6">
        <f>IF('Model inputs'!B22="","",'Model inputs'!B22)</f>
        <v>50</v>
      </c>
      <c r="C25" s="6">
        <f>IF('Model inputs'!C22="","",'Model inputs'!C22)</f>
        <v>55.5</v>
      </c>
      <c r="D25" s="6">
        <f>IF('Model inputs'!D22="","",'Model inputs'!D22)</f>
        <v>60.59499999999999</v>
      </c>
      <c r="E25" s="6">
        <f>IF('Model inputs'!E22="","",'Model inputs'!E22)</f>
        <v>65.31635</v>
      </c>
      <c r="F25" s="6">
        <f>IF('Model inputs'!F22="","",'Model inputs'!F22)</f>
        <v>69.69292349999999</v>
      </c>
      <c r="G25" s="6">
        <f>IF('Model inputs'!G22="","",'Model inputs'!G22)</f>
        <v>73.751314675</v>
      </c>
      <c r="H25" s="6">
        <f>IF('Model inputs'!H22="","",'Model inputs'!H22)</f>
        <v>77.51601980435</v>
      </c>
      <c r="I25" s="6">
        <f>SUM('Model inputs'!I26,'Model inputs'!I27)</f>
        <v>81.00960421425148</v>
      </c>
      <c r="J25" s="6">
        <f>SUM('Model inputs'!J26,'Model inputs'!J27)</f>
        <v>84.25285589153339</v>
      </c>
      <c r="K25" s="6">
        <f>SUM('Model inputs'!K26,'Model inputs'!K27)</f>
        <v>87.26492683420005</v>
      </c>
      <c r="L25" s="6">
        <f>SUM('Model inputs'!L26,'Model inputs'!L27)</f>
        <v>90.06346311903373</v>
      </c>
      <c r="M25" s="6">
        <f>SUM('Model inputs'!M26,'Model inputs'!M27)</f>
        <v>92.66472458813362</v>
      </c>
      <c r="N25" s="6">
        <f>SUM('Model inputs'!N26,'Model inputs'!N27)</f>
        <v>95.08369498414683</v>
      </c>
    </row>
    <row r="26" outlineLevel="1">
      <c r="A26" t="inlineStr" s="19">
        <is>
          <t xml:space="preserve">Ending customers &gt; Classroom</t>
        </is>
      </c>
      <c r="B26" s="8">
        <f>IF('Model inputs'!B23="","",'Model inputs'!B23)</f>
        <v>10</v>
      </c>
      <c r="C26" s="8">
        <f>IF('Model inputs'!C23="","",'Model inputs'!C23)</f>
        <v>10.7</v>
      </c>
      <c r="D26" s="8">
        <f>IF('Model inputs'!D23="","",'Model inputs'!D23)</f>
        <v>11.379</v>
      </c>
      <c r="E26" s="8">
        <f>IF('Model inputs'!E23="","",'Model inputs'!E23)</f>
        <v>12.03763</v>
      </c>
      <c r="F26" s="8">
        <f>IF('Model inputs'!F23="","",'Model inputs'!F23)</f>
        <v>12.6765011</v>
      </c>
      <c r="G26" s="8">
        <f>IF('Model inputs'!G23="","",'Model inputs'!G23)</f>
        <v>13.296206067</v>
      </c>
      <c r="H26" s="8">
        <f>IF('Model inputs'!H23="","",'Model inputs'!H23)</f>
        <v>13.89731988499</v>
      </c>
      <c r="I26" s="8">
        <f>'Model inputs'!H23+'Model inputs'!I77-'Model inputs'!I10</f>
        <v>14.4804002884403</v>
      </c>
      <c r="J26" s="8">
        <f>'Model inputs'!I26+'Model inputs'!J77-'Model inputs'!J10</f>
        <v>15.04598827978709</v>
      </c>
      <c r="K26" s="8">
        <f>'Model inputs'!J26+'Model inputs'!K77-'Model inputs'!K10</f>
        <v>15.594608631393477</v>
      </c>
      <c r="L26" s="8">
        <f>'Model inputs'!K26+'Model inputs'!L77-'Model inputs'!L10</f>
        <v>16.126770372451674</v>
      </c>
      <c r="M26" s="8">
        <f>'Model inputs'!L26+'Model inputs'!M77-'Model inputs'!M10</f>
        <v>16.642967261278123</v>
      </c>
      <c r="N26" s="8">
        <f>'Model inputs'!M26+'Model inputs'!N77-'Model inputs'!N10</f>
        <v>17.14367824343978</v>
      </c>
    </row>
    <row r="27" outlineLevel="1">
      <c r="A27" t="inlineStr" s="19">
        <is>
          <t xml:space="preserve">Ending customers &gt; Household</t>
        </is>
      </c>
      <c r="B27" s="8">
        <f>IF('Model inputs'!B24="","",'Model inputs'!B24)</f>
        <v>40</v>
      </c>
      <c r="C27" s="8">
        <f>IF('Model inputs'!C24="","",'Model inputs'!C24)</f>
        <v>44.8</v>
      </c>
      <c r="D27" s="8">
        <f>IF('Model inputs'!D24="","",'Model inputs'!D24)</f>
        <v>49.215999999999994</v>
      </c>
      <c r="E27" s="8">
        <f>IF('Model inputs'!E24="","",'Model inputs'!E24)</f>
        <v>53.27871999999999</v>
      </c>
      <c r="F27" s="8">
        <f>IF('Model inputs'!F24="","",'Model inputs'!F24)</f>
        <v>57.016422399999996</v>
      </c>
      <c r="G27" s="8">
        <f>IF('Model inputs'!G24="","",'Model inputs'!G24)</f>
        <v>60.455108607999996</v>
      </c>
      <c r="H27" s="8">
        <f>IF('Model inputs'!H24="","",'Model inputs'!H24)</f>
        <v>63.61869991935999</v>
      </c>
      <c r="I27" s="8">
        <f>'Model inputs'!H24+'Model inputs'!I78-'Model inputs'!I11</f>
        <v>66.52920392581119</v>
      </c>
      <c r="J27" s="8">
        <f>'Model inputs'!I27+'Model inputs'!J78-'Model inputs'!J11</f>
        <v>69.20686761174629</v>
      </c>
      <c r="K27" s="8">
        <f>'Model inputs'!J27+'Model inputs'!K78-'Model inputs'!K11</f>
        <v>71.67031820280658</v>
      </c>
      <c r="L27" s="8">
        <f>'Model inputs'!K27+'Model inputs'!L78-'Model inputs'!L11</f>
        <v>73.93669274658205</v>
      </c>
      <c r="M27" s="8">
        <f>'Model inputs'!L27+'Model inputs'!M78-'Model inputs'!M11</f>
        <v>76.0217573268555</v>
      </c>
      <c r="N27" s="8">
        <f>'Model inputs'!M27+'Model inputs'!N78-'Model inputs'!N11</f>
        <v>77.94001674070705</v>
      </c>
    </row>
    <row r="28">
      <c r="A28" t="inlineStr" s="18">
        <is>
          <t xml:space="preserve">Ending customers</t>
        </is>
      </c>
      <c r="B28" s="6">
        <f>SUM('Model inputs'!B29,'Model inputs'!B30)</f>
        <v>50</v>
      </c>
      <c r="C28" s="6">
        <f>SUM('Model inputs'!C29,'Model inputs'!C30)</f>
        <v>52.4</v>
      </c>
      <c r="D28" s="6">
        <f>SUM('Model inputs'!D29,'Model inputs'!D30)</f>
        <v>54.476</v>
      </c>
      <c r="E28" s="6">
        <f>SUM('Model inputs'!E29,'Model inputs'!E30)</f>
        <v>56.274440000000006</v>
      </c>
      <c r="F28" s="6">
        <f>SUM('Model inputs'!F29,'Model inputs'!F30)</f>
        <v>57.83492360000001</v>
      </c>
      <c r="G28" s="6">
        <f>SUM('Model inputs'!G29,'Model inputs'!G30)</f>
        <v>59.191235684000006</v>
      </c>
      <c r="H28" s="6">
        <f>SUM('Model inputs'!H29,'Model inputs'!H30)</f>
        <v>60.37220791796001</v>
      </c>
    </row>
    <row r="29" outlineLevel="1">
      <c r="A29" t="inlineStr" s="19">
        <is>
          <t xml:space="preserve">Ending customers &gt; Classroom</t>
        </is>
      </c>
      <c r="B29" s="8">
        <f>IF('Model inputs'!O240="","",'Model inputs'!O240)</f>
        <v>10</v>
      </c>
      <c r="C29" s="8">
        <f>'Model inputs'!B29+'Model inputs'!C80-'Model inputs'!C13</f>
        <v>10.4</v>
      </c>
      <c r="D29" s="8">
        <f>'Model inputs'!C29+'Model inputs'!D80-'Model inputs'!D13</f>
        <v>10.776</v>
      </c>
      <c r="E29" s="8">
        <f>'Model inputs'!D29+'Model inputs'!E80-'Model inputs'!E13</f>
        <v>11.12944</v>
      </c>
      <c r="F29" s="8">
        <f>'Model inputs'!E29+'Model inputs'!F80-'Model inputs'!F13</f>
        <v>11.461673600000001</v>
      </c>
      <c r="G29" s="8">
        <f>'Model inputs'!F29+'Model inputs'!G80-'Model inputs'!G13</f>
        <v>11.773973184</v>
      </c>
      <c r="H29" s="8">
        <f>'Model inputs'!G29+'Model inputs'!H80-'Model inputs'!H13</f>
        <v>12.06753479296</v>
      </c>
    </row>
    <row r="30" outlineLevel="1">
      <c r="A30" t="inlineStr" s="19">
        <is>
          <t xml:space="preserve">Ending customers &gt; Household</t>
        </is>
      </c>
      <c r="B30" s="8">
        <f>IF('Model inputs'!O241="","",'Model inputs'!O241)</f>
        <v>40</v>
      </c>
      <c r="C30" s="8">
        <f>'Model inputs'!B30+'Model inputs'!C81-'Model inputs'!C14</f>
        <v>42</v>
      </c>
      <c r="D30" s="8">
        <f>'Model inputs'!C30+'Model inputs'!D81-'Model inputs'!D14</f>
        <v>43.7</v>
      </c>
      <c r="E30" s="8">
        <f>'Model inputs'!D30+'Model inputs'!E81-'Model inputs'!E14</f>
        <v>45.145</v>
      </c>
      <c r="F30" s="8">
        <f>'Model inputs'!E30+'Model inputs'!F81-'Model inputs'!F14</f>
        <v>46.373250000000006</v>
      </c>
      <c r="G30" s="8">
        <f>'Model inputs'!F30+'Model inputs'!G81-'Model inputs'!G14</f>
        <v>47.41726250000001</v>
      </c>
      <c r="H30" s="8">
        <f>'Model inputs'!G30+'Model inputs'!H81-'Model inputs'!H14</f>
        <v>48.30467312500001</v>
      </c>
    </row>
    <row r="31">
      <c r="A31" t="inlineStr" s="18">
        <is>
          <t xml:space="preserve">Ending customers</t>
        </is>
      </c>
      <c r="B31" s="6">
        <f>SUM('Model inputs'!B32,'Model inputs'!B33)</f>
        <v>50</v>
      </c>
      <c r="C31" s="6">
        <f>SUM('Model inputs'!C32,'Model inputs'!C33)</f>
        <v>65.5</v>
      </c>
      <c r="D31" s="6">
        <f>SUM('Model inputs'!D32,'Model inputs'!D33)</f>
        <v>79.895</v>
      </c>
      <c r="E31" s="6">
        <f>SUM('Model inputs'!E32,'Model inputs'!E33)</f>
        <v>93.26935</v>
      </c>
      <c r="F31" s="6">
        <f>SUM('Model inputs'!F32,'Model inputs'!F33)</f>
        <v>105.7007735</v>
      </c>
      <c r="G31" s="6">
        <f>SUM('Model inputs'!G32,'Model inputs'!G33)</f>
        <v>117.26089397499999</v>
      </c>
      <c r="H31" s="6">
        <f>SUM('Model inputs'!H32,'Model inputs'!H33)</f>
        <v>128.01571934135</v>
      </c>
    </row>
    <row r="32" outlineLevel="1">
      <c r="A32" t="inlineStr" s="19">
        <is>
          <t xml:space="preserve">Ending customers &gt; Classroom</t>
        </is>
      </c>
      <c r="B32" s="8">
        <f>IF('Model inputs'!O243="","",'Model inputs'!O243)</f>
        <v>10</v>
      </c>
      <c r="C32" s="8">
        <f>'Model inputs'!B32+'Model inputs'!C83-'Model inputs'!C16</f>
        <v>12.7</v>
      </c>
      <c r="D32" s="8">
        <f>'Model inputs'!C32+'Model inputs'!D83-'Model inputs'!D16</f>
        <v>15.318999999999999</v>
      </c>
      <c r="E32" s="8">
        <f>'Model inputs'!D32+'Model inputs'!E83-'Model inputs'!E16</f>
        <v>17.85943</v>
      </c>
      <c r="F32" s="8">
        <f>'Model inputs'!E32+'Model inputs'!F83-'Model inputs'!F16</f>
        <v>20.3236471</v>
      </c>
      <c r="G32" s="8">
        <f>'Model inputs'!F32+'Model inputs'!G83-'Model inputs'!G16</f>
        <v>22.713937686999998</v>
      </c>
      <c r="H32" s="8">
        <f>'Model inputs'!G32+'Model inputs'!H83-'Model inputs'!H16</f>
        <v>25.03251955639</v>
      </c>
    </row>
    <row r="33" outlineLevel="1">
      <c r="A33" t="inlineStr" s="19">
        <is>
          <t xml:space="preserve">Ending customers &gt; Household</t>
        </is>
      </c>
      <c r="B33" s="8">
        <f>IF('Model inputs'!O244="","",'Model inputs'!O244)</f>
        <v>40</v>
      </c>
      <c r="C33" s="8">
        <f>'Model inputs'!B33+'Model inputs'!C84-'Model inputs'!C17</f>
        <v>52.8</v>
      </c>
      <c r="D33" s="8">
        <f>'Model inputs'!C33+'Model inputs'!D84-'Model inputs'!D17</f>
        <v>64.576</v>
      </c>
      <c r="E33" s="8">
        <f>'Model inputs'!D33+'Model inputs'!E84-'Model inputs'!E17</f>
        <v>75.40992</v>
      </c>
      <c r="F33" s="8">
        <f>'Model inputs'!E33+'Model inputs'!F84-'Model inputs'!F17</f>
        <v>85.3771264</v>
      </c>
      <c r="G33" s="8">
        <f>'Model inputs'!F33+'Model inputs'!G84-'Model inputs'!G17</f>
        <v>94.54695628799999</v>
      </c>
      <c r="H33" s="8">
        <f>'Model inputs'!G33+'Model inputs'!H84-'Model inputs'!H17</f>
        <v>102.98319978496</v>
      </c>
    </row>
    <row r="34">
      <c r="A34" t="inlineStr" s="18">
        <is>
          <t xml:space="preserve">Gross margin bar (ours, stated) · Main Scenario</t>
        </is>
      </c>
      <c r="O34" s="21">
        <f>0.6</f>
        <v>0.6</v>
      </c>
    </row>
    <row r="35">
      <c r="A35" t="inlineStr" s="18">
        <is>
          <t xml:space="preserve">Gross margin bar (ours, stated) · Downside</t>
        </is>
      </c>
      <c r="O35" s="21">
        <f>'Model inputs'!O34</f>
        <v>0.6</v>
      </c>
    </row>
    <row r="36">
      <c r="A36" t="inlineStr" s="18">
        <is>
          <t xml:space="preserve">Gross margin bar (ours, stated) · Growth</t>
        </is>
      </c>
      <c r="O36" s="21">
        <f>'Model inputs'!O34</f>
        <v>0.6</v>
      </c>
    </row>
    <row r="37">
      <c r="A37" t="inlineStr" s="18">
        <is>
          <t xml:space="preserve">Hosting and neatlogs allocated by revenue (USD)</t>
        </is>
      </c>
      <c r="B37" s="9">
        <f>SUM('Model inputs'!B38,'Model inputs'!B39)</f>
        <v>0</v>
      </c>
      <c r="C37" s="9">
        <f>SUM('Model inputs'!C38,'Model inputs'!C39)</f>
        <v>25</v>
      </c>
      <c r="D37" s="9">
        <f>SUM('Model inputs'!D38,'Model inputs'!D39)</f>
        <v>24.999999999999996</v>
      </c>
      <c r="E37" s="9">
        <f>SUM('Model inputs'!E38,'Model inputs'!E39)</f>
        <v>25</v>
      </c>
      <c r="F37" s="9">
        <f>SUM('Model inputs'!F38,'Model inputs'!F39)</f>
        <v>25</v>
      </c>
      <c r="G37" s="9">
        <f>SUM('Model inputs'!G38,'Model inputs'!G39)</f>
        <v>25.000000000000004</v>
      </c>
      <c r="H37" s="9">
        <f>SUM('Model inputs'!H38,'Model inputs'!H39)</f>
        <v>25</v>
      </c>
    </row>
    <row r="38" outlineLevel="1">
      <c r="A38" t="inlineStr" s="19">
        <is>
          <t xml:space="preserve">Hosting and neatlogs allocated by revenue (USD) &gt; Classroom</t>
        </is>
      </c>
      <c r="B38" s="10">
        <f>'Model inputs'!B44</f>
        <v>0</v>
      </c>
      <c r="C38" s="10">
        <f>('Model inputs'!O178+'Model inputs'!C197)*IFERROR('Model inputs'!C132/SUM('Model inputs'!C132,'Model inputs'!C133),0)</f>
        <v>12.668436439396485</v>
      </c>
      <c r="D38" s="10">
        <f>('Model inputs'!O178+'Model inputs'!D197)*IFERROR('Model inputs'!D132/SUM('Model inputs'!D132,'Model inputs'!D133),0)</f>
        <v>12.642422653636842</v>
      </c>
      <c r="E38" s="10">
        <f>('Model inputs'!O178+'Model inputs'!E197)*IFERROR('Model inputs'!E132/SUM('Model inputs'!E132,'Model inputs'!E133),0)</f>
        <v>12.640803991356586</v>
      </c>
      <c r="F38" s="10">
        <f>('Model inputs'!O178+'Model inputs'!F197)*IFERROR('Model inputs'!F132/SUM('Model inputs'!F132,'Model inputs'!F133),0)</f>
        <v>12.656874440695642</v>
      </c>
      <c r="G38" s="10">
        <f>('Model inputs'!O178+'Model inputs'!G197)*IFERROR('Model inputs'!G132/SUM('Model inputs'!G132,'Model inputs'!G133),0)</f>
        <v>12.68573855717079</v>
      </c>
      <c r="H38" s="10">
        <f>('Model inputs'!O178+'Model inputs'!H197)*IFERROR('Model inputs'!H132/SUM('Model inputs'!H132,'Model inputs'!H133),0)</f>
        <v>12.723761953300878</v>
      </c>
    </row>
    <row r="39" outlineLevel="1">
      <c r="A39" t="inlineStr" s="19">
        <is>
          <t xml:space="preserve">Hosting and neatlogs allocated by revenue (USD) &gt; Household</t>
        </is>
      </c>
      <c r="B39" s="10">
        <f>'Model inputs'!B45</f>
        <v>0</v>
      </c>
      <c r="C39" s="10">
        <f>('Model inputs'!O178+'Model inputs'!C197)*IFERROR('Model inputs'!C133/SUM('Model inputs'!C132,'Model inputs'!C133),0)</f>
        <v>12.331563560603513</v>
      </c>
      <c r="D39" s="10">
        <f>('Model inputs'!O178+'Model inputs'!D197)*IFERROR('Model inputs'!D133/SUM('Model inputs'!D132,'Model inputs'!D133),0)</f>
        <v>12.357577346363154</v>
      </c>
      <c r="E39" s="10">
        <f>('Model inputs'!O178+'Model inputs'!E197)*IFERROR('Model inputs'!E133/SUM('Model inputs'!E132,'Model inputs'!E133),0)</f>
        <v>12.359196008643414</v>
      </c>
      <c r="F39" s="10">
        <f>('Model inputs'!O178+'Model inputs'!F197)*IFERROR('Model inputs'!F133/SUM('Model inputs'!F132,'Model inputs'!F133),0)</f>
        <v>12.343125559304356</v>
      </c>
      <c r="G39" s="10">
        <f>('Model inputs'!O178+'Model inputs'!G197)*IFERROR('Model inputs'!G133/SUM('Model inputs'!G132,'Model inputs'!G133),0)</f>
        <v>12.314261442829213</v>
      </c>
      <c r="H39" s="10">
        <f>('Model inputs'!O178+'Model inputs'!H197)*IFERROR('Model inputs'!H133/SUM('Model inputs'!H132,'Model inputs'!H133),0)</f>
        <v>12.276238046699122</v>
      </c>
    </row>
    <row r="40">
      <c r="A40" t="inlineStr" s="18">
        <is>
          <t xml:space="preserve">Hosting and neatlogs allocated by revenue (USD)</t>
        </is>
      </c>
      <c r="B40" s="9">
        <f>SUM('Model inputs'!B41,'Model inputs'!B42)</f>
        <v>0</v>
      </c>
      <c r="C40" s="9">
        <f>SUM('Model inputs'!C41,'Model inputs'!C42)</f>
        <v>25</v>
      </c>
      <c r="D40" s="9">
        <f>SUM('Model inputs'!D41,'Model inputs'!D42)</f>
        <v>25</v>
      </c>
      <c r="E40" s="9">
        <f>SUM('Model inputs'!E41,'Model inputs'!E42)</f>
        <v>25</v>
      </c>
      <c r="F40" s="9">
        <f>SUM('Model inputs'!F41,'Model inputs'!F42)</f>
        <v>25</v>
      </c>
      <c r="G40" s="9">
        <f>SUM('Model inputs'!G41,'Model inputs'!G42)</f>
        <v>25</v>
      </c>
      <c r="H40" s="9">
        <f>SUM('Model inputs'!H41,'Model inputs'!H42)</f>
        <v>25</v>
      </c>
    </row>
    <row r="41" outlineLevel="1">
      <c r="A41" t="inlineStr" s="19">
        <is>
          <t xml:space="preserve">Hosting and neatlogs allocated by revenue (USD) &gt; Classroom</t>
        </is>
      </c>
      <c r="B41" s="10">
        <f>'Model inputs'!B44</f>
        <v>0</v>
      </c>
      <c r="C41" s="10">
        <f>('Model inputs'!O179+'Model inputs'!C198)*IFERROR('Model inputs'!C135/SUM('Model inputs'!C135,'Model inputs'!C136),0)</f>
        <v>12.486912982863466</v>
      </c>
      <c r="D41" s="10">
        <f>('Model inputs'!O179+'Model inputs'!D198)*IFERROR('Model inputs'!D135/SUM('Model inputs'!D135,'Model inputs'!D136),0)</f>
        <v>12.400416713355956</v>
      </c>
      <c r="E41" s="10">
        <f>('Model inputs'!O179+'Model inputs'!E198)*IFERROR('Model inputs'!E135/SUM('Model inputs'!E135,'Model inputs'!E136),0)</f>
        <v>12.390053475705804</v>
      </c>
      <c r="F41" s="10">
        <f>('Model inputs'!O179+'Model inputs'!F198)*IFERROR('Model inputs'!F135/SUM('Model inputs'!F135,'Model inputs'!F136),0)</f>
        <v>12.422014383367456</v>
      </c>
      <c r="G41" s="10">
        <f>('Model inputs'!O179+'Model inputs'!G198)*IFERROR('Model inputs'!G135/SUM('Model inputs'!G135,'Model inputs'!G136),0)</f>
        <v>12.4793587800491</v>
      </c>
      <c r="H41" s="10">
        <f>('Model inputs'!O179+'Model inputs'!H198)*IFERROR('Model inputs'!H135/SUM('Model inputs'!H135,'Model inputs'!H136),0)</f>
        <v>12.552656998132742</v>
      </c>
    </row>
    <row r="42" outlineLevel="1">
      <c r="A42" t="inlineStr" s="19">
        <is>
          <t xml:space="preserve">Hosting and neatlogs allocated by revenue (USD) &gt; Household</t>
        </is>
      </c>
      <c r="B42" s="10">
        <f>'Model inputs'!B45</f>
        <v>0</v>
      </c>
      <c r="C42" s="10">
        <f>('Model inputs'!O179+'Model inputs'!C198)*IFERROR('Model inputs'!C136/SUM('Model inputs'!C135,'Model inputs'!C136),0)</f>
        <v>12.513087017136534</v>
      </c>
      <c r="D42" s="10">
        <f>('Model inputs'!O179+'Model inputs'!D198)*IFERROR('Model inputs'!D136/SUM('Model inputs'!D135,'Model inputs'!D136),0)</f>
        <v>12.599583286644043</v>
      </c>
      <c r="E42" s="10">
        <f>('Model inputs'!O179+'Model inputs'!E198)*IFERROR('Model inputs'!E136/SUM('Model inputs'!E135,'Model inputs'!E136),0)</f>
        <v>12.609946524294196</v>
      </c>
      <c r="F42" s="10">
        <f>('Model inputs'!O179+'Model inputs'!F198)*IFERROR('Model inputs'!F136/SUM('Model inputs'!F135,'Model inputs'!F136),0)</f>
        <v>12.577985616632544</v>
      </c>
      <c r="G42" s="10">
        <f>('Model inputs'!O179+'Model inputs'!G198)*IFERROR('Model inputs'!G136/SUM('Model inputs'!G135,'Model inputs'!G136),0)</f>
        <v>12.520641219950901</v>
      </c>
      <c r="H42" s="10">
        <f>('Model inputs'!O179+'Model inputs'!H198)*IFERROR('Model inputs'!H136/SUM('Model inputs'!H135,'Model inputs'!H136),0)</f>
        <v>12.447343001867258</v>
      </c>
    </row>
    <row r="43">
      <c r="A43" t="inlineStr" s="18">
        <is>
          <t xml:space="preserve">Hosting and neatlogs allocated by revenue (USD)</t>
        </is>
      </c>
      <c r="B43" s="9">
        <f>SUM('Model inputs'!B44,'Model inputs'!B45)</f>
        <v>0</v>
      </c>
      <c r="C43" s="9">
        <f>SUM('Model inputs'!C44,'Model inputs'!C45)</f>
        <v>25</v>
      </c>
      <c r="D43" s="9">
        <f>SUM('Model inputs'!D44,'Model inputs'!D45)</f>
        <v>25.000000000000004</v>
      </c>
      <c r="E43" s="9">
        <f>SUM('Model inputs'!E44,'Model inputs'!E45)</f>
        <v>24.999999999999996</v>
      </c>
      <c r="F43" s="9">
        <f>SUM('Model inputs'!F44,'Model inputs'!F45)</f>
        <v>25</v>
      </c>
      <c r="G43" s="9">
        <f>SUM('Model inputs'!G44,'Model inputs'!G45)</f>
        <v>25</v>
      </c>
      <c r="H43" s="9">
        <f>SUM('Model inputs'!H44,'Model inputs'!H45)</f>
        <v>24.999999999999996</v>
      </c>
    </row>
    <row r="44" outlineLevel="1">
      <c r="A44" t="inlineStr" s="19">
        <is>
          <t xml:space="preserve">Hosting and neatlogs allocated by revenue (USD) &gt; Classroom</t>
        </is>
      </c>
      <c r="B44" s="10">
        <f>0</f>
        <v>0</v>
      </c>
      <c r="C44" s="10">
        <f>('Model inputs'!O49+'Model inputs'!C195)*IFERROR('Model inputs'!C126/SUM('Model inputs'!C126,'Model inputs'!C127),0)</f>
        <v>12.44281837254512</v>
      </c>
      <c r="D44" s="10">
        <f>('Model inputs'!O49+'Model inputs'!D195)*IFERROR('Model inputs'!D126/SUM('Model inputs'!D126,'Model inputs'!D127),0)</f>
        <v>12.239825401027677</v>
      </c>
      <c r="E44" s="10">
        <f>('Model inputs'!O49+'Model inputs'!E195)*IFERROR('Model inputs'!E126/SUM('Model inputs'!E126,'Model inputs'!E127),0)</f>
        <v>12.095864952872109</v>
      </c>
      <c r="F44" s="10">
        <f>('Model inputs'!O49+'Model inputs'!F195)*IFERROR('Model inputs'!F126/SUM('Model inputs'!F126,'Model inputs'!F127),0)</f>
        <v>11.995436226062646</v>
      </c>
      <c r="G44" s="10">
        <f>('Model inputs'!O49+'Model inputs'!G195)*IFERROR('Model inputs'!G126/SUM('Model inputs'!G126,'Model inputs'!G127),0)</f>
        <v>11.927855850525166</v>
      </c>
      <c r="H44" s="10">
        <f>('Model inputs'!O49+'Model inputs'!H195)*IFERROR('Model inputs'!H126/SUM('Model inputs'!H126,'Model inputs'!H127),0)</f>
        <v>11.885519632327293</v>
      </c>
    </row>
    <row r="45" outlineLevel="1">
      <c r="A45" t="inlineStr" s="19">
        <is>
          <t xml:space="preserve">Hosting and neatlogs allocated by revenue (USD) &gt; Household</t>
        </is>
      </c>
      <c r="B45" s="10">
        <f>0</f>
        <v>0</v>
      </c>
      <c r="C45" s="10">
        <f>('Model inputs'!O49+'Model inputs'!C195)*IFERROR('Model inputs'!C127/SUM('Model inputs'!C126,'Model inputs'!C127),0)</f>
        <v>12.55718162745488</v>
      </c>
      <c r="D45" s="10">
        <f>('Model inputs'!O49+'Model inputs'!D195)*IFERROR('Model inputs'!D127/SUM('Model inputs'!D126,'Model inputs'!D127),0)</f>
        <v>12.760174598972327</v>
      </c>
      <c r="E45" s="10">
        <f>('Model inputs'!O49+'Model inputs'!E195)*IFERROR('Model inputs'!E127/SUM('Model inputs'!E126,'Model inputs'!E127),0)</f>
        <v>12.904135047127888</v>
      </c>
      <c r="F45" s="10">
        <f>('Model inputs'!O49+'Model inputs'!F195)*IFERROR('Model inputs'!F127/SUM('Model inputs'!F126,'Model inputs'!F127),0)</f>
        <v>13.004563773937353</v>
      </c>
      <c r="G45" s="10">
        <f>('Model inputs'!O49+'Model inputs'!G195)*IFERROR('Model inputs'!G127/SUM('Model inputs'!G126,'Model inputs'!G127),0)</f>
        <v>13.072144149474832</v>
      </c>
      <c r="H45" s="10">
        <f>('Model inputs'!O49+'Model inputs'!H195)*IFERROR('Model inputs'!H127/SUM('Model inputs'!H126,'Model inputs'!H127),0)</f>
        <v>13.114480367672703</v>
      </c>
    </row>
    <row r="46">
      <c r="A46" t="inlineStr" s="18">
        <is>
          <t xml:space="preserve">Hosting and neatlogs allocated by revenue (USD)</t>
        </is>
      </c>
      <c r="B46" s="9">
        <f>IF('Model inputs'!B43="","",'Model inputs'!B43)</f>
        <v>0</v>
      </c>
      <c r="C46" s="9">
        <f>IF('Model inputs'!C43="","",'Model inputs'!C43)</f>
        <v>25</v>
      </c>
      <c r="D46" s="9">
        <f>IF('Model inputs'!D43="","",'Model inputs'!D43)</f>
        <v>25.000000000000004</v>
      </c>
      <c r="E46" s="9">
        <f>IF('Model inputs'!E43="","",'Model inputs'!E43)</f>
        <v>24.999999999999996</v>
      </c>
      <c r="F46" s="9">
        <f>IF('Model inputs'!F43="","",'Model inputs'!F43)</f>
        <v>25</v>
      </c>
      <c r="G46" s="9">
        <f>IF('Model inputs'!G43="","",'Model inputs'!G43)</f>
        <v>25</v>
      </c>
      <c r="H46" s="9">
        <f>IF('Model inputs'!H43="","",'Model inputs'!H43)</f>
        <v>24.999999999999996</v>
      </c>
      <c r="I46" s="9">
        <f>SUM('Model inputs'!I47,'Model inputs'!I48)</f>
        <v>25</v>
      </c>
      <c r="J46" s="9">
        <f>SUM('Model inputs'!J47,'Model inputs'!J48)</f>
        <v>25</v>
      </c>
      <c r="K46" s="9">
        <f>SUM('Model inputs'!K47,'Model inputs'!K48)</f>
        <v>25</v>
      </c>
      <c r="L46" s="9">
        <f>SUM('Model inputs'!L47,'Model inputs'!L48)</f>
        <v>25</v>
      </c>
      <c r="M46" s="9">
        <f>SUM('Model inputs'!M47,'Model inputs'!M48)</f>
        <v>25</v>
      </c>
      <c r="N46" s="9">
        <f>SUM('Model inputs'!N47,'Model inputs'!N48)</f>
        <v>25</v>
      </c>
    </row>
    <row r="47" outlineLevel="1">
      <c r="A47" t="inlineStr" s="19">
        <is>
          <t xml:space="preserve">Hosting and neatlogs allocated by revenue (USD) &gt; Classroom</t>
        </is>
      </c>
      <c r="B47" s="10">
        <f>IF('Model inputs'!B44="","",'Model inputs'!B44)</f>
        <v>0</v>
      </c>
      <c r="C47" s="10">
        <f>IF('Model inputs'!C44="","",'Model inputs'!C44)</f>
        <v>12.44281837254512</v>
      </c>
      <c r="D47" s="10">
        <f>IF('Model inputs'!D44="","",'Model inputs'!D44)</f>
        <v>12.239825401027677</v>
      </c>
      <c r="E47" s="10">
        <f>IF('Model inputs'!E44="","",'Model inputs'!E44)</f>
        <v>12.095864952872109</v>
      </c>
      <c r="F47" s="10">
        <f>IF('Model inputs'!F44="","",'Model inputs'!F44)</f>
        <v>11.995436226062646</v>
      </c>
      <c r="G47" s="10">
        <f>IF('Model inputs'!G44="","",'Model inputs'!G44)</f>
        <v>11.927855850525166</v>
      </c>
      <c r="H47" s="10">
        <f>IF('Model inputs'!H44="","",'Model inputs'!H44)</f>
        <v>11.885519632327293</v>
      </c>
      <c r="I47" s="10">
        <f>('Model inputs'!O49+'Model inputs'!I196)*IFERROR('Model inputs'!I129/SUM('Model inputs'!I129,'Model inputs'!I130),0)</f>
        <v>11.862866973394967</v>
      </c>
      <c r="J47" s="10">
        <f>('Model inputs'!O49+'Model inputs'!J196)*IFERROR('Model inputs'!J129/SUM('Model inputs'!J129,'Model inputs'!J130),0)</f>
        <v>11.855737458116163</v>
      </c>
      <c r="K47" s="10">
        <f>('Model inputs'!O49+'Model inputs'!K196)*IFERROR('Model inputs'!K129/SUM('Model inputs'!K129,'Model inputs'!K130),0)</f>
        <v>11.86095659806789</v>
      </c>
      <c r="L47" s="10">
        <f>('Model inputs'!O49+'Model inputs'!L196)*IFERROR('Model inputs'!L129/SUM('Model inputs'!L129,'Model inputs'!L130),0)</f>
        <v>11.876060819980722</v>
      </c>
      <c r="M47" s="10">
        <f>('Model inputs'!O49+'Model inputs'!M196)*IFERROR('Model inputs'!M129/SUM('Model inputs'!M129,'Model inputs'!M130),0)</f>
        <v>11.899109960843594</v>
      </c>
      <c r="N47" s="10">
        <f>('Model inputs'!O49+'Model inputs'!N196)*IFERROR('Model inputs'!N129/SUM('Model inputs'!N129,'Model inputs'!N130),0)</f>
        <v>11.928556394923298</v>
      </c>
    </row>
    <row r="48" outlineLevel="1">
      <c r="A48" t="inlineStr" s="19">
        <is>
          <t xml:space="preserve">Hosting and neatlogs allocated by revenue (USD) &gt; Household</t>
        </is>
      </c>
      <c r="B48" s="10">
        <f>IF('Model inputs'!B45="","",'Model inputs'!B45)</f>
        <v>0</v>
      </c>
      <c r="C48" s="10">
        <f>IF('Model inputs'!C45="","",'Model inputs'!C45)</f>
        <v>12.55718162745488</v>
      </c>
      <c r="D48" s="10">
        <f>IF('Model inputs'!D45="","",'Model inputs'!D45)</f>
        <v>12.760174598972327</v>
      </c>
      <c r="E48" s="10">
        <f>IF('Model inputs'!E45="","",'Model inputs'!E45)</f>
        <v>12.904135047127888</v>
      </c>
      <c r="F48" s="10">
        <f>IF('Model inputs'!F45="","",'Model inputs'!F45)</f>
        <v>13.004563773937353</v>
      </c>
      <c r="G48" s="10">
        <f>IF('Model inputs'!G45="","",'Model inputs'!G45)</f>
        <v>13.072144149474832</v>
      </c>
      <c r="H48" s="10">
        <f>IF('Model inputs'!H45="","",'Model inputs'!H45)</f>
        <v>13.114480367672703</v>
      </c>
      <c r="I48" s="10">
        <f>('Model inputs'!O49+'Model inputs'!I196)*IFERROR('Model inputs'!I130/SUM('Model inputs'!I129,'Model inputs'!I130),0)</f>
        <v>13.137133026605033</v>
      </c>
      <c r="J48" s="10">
        <f>('Model inputs'!O49+'Model inputs'!J196)*IFERROR('Model inputs'!J130/SUM('Model inputs'!J129,'Model inputs'!J130),0)</f>
        <v>13.144262541883837</v>
      </c>
      <c r="K48" s="10">
        <f>('Model inputs'!O49+'Model inputs'!K196)*IFERROR('Model inputs'!K130/SUM('Model inputs'!K129,'Model inputs'!K130),0)</f>
        <v>13.13904340193211</v>
      </c>
      <c r="L48" s="10">
        <f>('Model inputs'!O49+'Model inputs'!L196)*IFERROR('Model inputs'!L130/SUM('Model inputs'!L129,'Model inputs'!L130),0)</f>
        <v>13.123939180019278</v>
      </c>
      <c r="M48" s="10">
        <f>('Model inputs'!O49+'Model inputs'!M196)*IFERROR('Model inputs'!M130/SUM('Model inputs'!M129,'Model inputs'!M130),0)</f>
        <v>13.100890039156404</v>
      </c>
      <c r="N48" s="10">
        <f>('Model inputs'!O49+'Model inputs'!N196)*IFERROR('Model inputs'!N130/SUM('Model inputs'!N129,'Model inputs'!N130),0)</f>
        <v>13.071443605076702</v>
      </c>
    </row>
    <row r="49">
      <c r="A49" t="inlineStr" s="18">
        <is>
          <t xml:space="preserve">Hosting per month (USD, assumed) · Gross profit and margin by plan (monthly)</t>
        </is>
      </c>
      <c r="O49" s="10">
        <f>25</f>
        <v>25</v>
      </c>
    </row>
    <row r="50">
      <c r="A50" t="inlineStr" s="18">
        <is>
          <t xml:space="preserve">Inference cost (USD, estimate)</t>
        </is>
      </c>
      <c r="B50" s="9">
        <f>SUM('Model inputs'!B51,'Model inputs'!B52)</f>
        <v>0</v>
      </c>
      <c r="C50" s="9">
        <f>SUM('Model inputs'!C51,'Model inputs'!C52)</f>
        <v>329.70576</v>
      </c>
      <c r="D50" s="9">
        <f>SUM('Model inputs'!D51,'Model inputs'!D52)</f>
        <v>342.09108</v>
      </c>
      <c r="E50" s="9">
        <f>SUM('Model inputs'!E51,'Model inputs'!E52)</f>
        <v>353.34122136</v>
      </c>
      <c r="F50" s="9">
        <f>SUM('Model inputs'!F51,'Model inputs'!F52)</f>
        <v>363.5831037144</v>
      </c>
      <c r="G50" s="9">
        <f>SUM('Model inputs'!G51,'Model inputs'!G52)</f>
        <v>372.92721018213604</v>
      </c>
      <c r="H50" s="9">
        <f>SUM('Model inputs'!H51,'Model inputs'!H52)</f>
        <v>381.4698967582178</v>
      </c>
    </row>
    <row r="51" outlineLevel="1">
      <c r="A51" t="inlineStr" s="19">
        <is>
          <t xml:space="preserve">Inference cost (USD, estimate) &gt; Classroom</t>
        </is>
      </c>
      <c r="B51" s="10">
        <f>'Model inputs'!B57</f>
        <v>0</v>
      </c>
      <c r="C51" s="10">
        <f>'Model inputs'!C249*'Model inputs'!O164</f>
        <v>222.0816</v>
      </c>
      <c r="D51" s="10">
        <f>'Model inputs'!D249*'Model inputs'!O164</f>
        <v>230.11070399999997</v>
      </c>
      <c r="E51" s="10">
        <f>'Model inputs'!E249*'Model inputs'!O164</f>
        <v>237.65806176000004</v>
      </c>
      <c r="F51" s="10">
        <f>'Model inputs'!F249*'Model inputs'!O164</f>
        <v>244.7525780544</v>
      </c>
      <c r="G51" s="10">
        <f>'Model inputs'!G249*'Model inputs'!O164</f>
        <v>251.42142337113603</v>
      </c>
      <c r="H51" s="10">
        <f>'Model inputs'!H249*'Model inputs'!O164</f>
        <v>257.6901379688678</v>
      </c>
    </row>
    <row r="52" outlineLevel="1">
      <c r="A52" t="inlineStr" s="19">
        <is>
          <t xml:space="preserve">Inference cost (USD, estimate) &gt; Household</t>
        </is>
      </c>
      <c r="B52" s="10">
        <f>'Model inputs'!B58</f>
        <v>0</v>
      </c>
      <c r="C52" s="10">
        <f>'Model inputs'!C250*'Model inputs'!O164</f>
        <v>107.62415999999999</v>
      </c>
      <c r="D52" s="10">
        <f>'Model inputs'!D250*'Model inputs'!O164</f>
        <v>111.98037599999999</v>
      </c>
      <c r="E52" s="10">
        <f>'Model inputs'!E250*'Model inputs'!O164</f>
        <v>115.6831596</v>
      </c>
      <c r="F52" s="10">
        <f>'Model inputs'!F250*'Model inputs'!O164</f>
        <v>118.83052566</v>
      </c>
      <c r="G52" s="10">
        <f>'Model inputs'!G250*'Model inputs'!O164</f>
        <v>121.505786811</v>
      </c>
      <c r="H52" s="10">
        <f>'Model inputs'!H250*'Model inputs'!O164</f>
        <v>123.77975878935001</v>
      </c>
    </row>
    <row r="53">
      <c r="A53" t="inlineStr" s="18">
        <is>
          <t xml:space="preserve">Inference cost (USD, estimate)</t>
        </is>
      </c>
      <c r="B53" s="9">
        <f>SUM('Model inputs'!B54,'Model inputs'!B55)</f>
        <v>0</v>
      </c>
      <c r="C53" s="9">
        <f>SUM('Model inputs'!C54,'Model inputs'!C55)</f>
        <v>316.97795399999995</v>
      </c>
      <c r="D53" s="9">
        <f>SUM('Model inputs'!D54,'Model inputs'!D55)</f>
        <v>384.11880018</v>
      </c>
      <c r="E53" s="9">
        <f>SUM('Model inputs'!E54,'Model inputs'!E55)</f>
        <v>448.06889259059994</v>
      </c>
      <c r="F53" s="9">
        <f>SUM('Model inputs'!F54,'Model inputs'!F55)</f>
        <v>509.0180761156019</v>
      </c>
      <c r="G53" s="9">
        <f>SUM('Model inputs'!G54,'Model inputs'!G55)</f>
        <v>567.1429705106362</v>
      </c>
      <c r="H53" s="9">
        <f>SUM('Model inputs'!H54,'Model inputs'!H55)</f>
        <v>622.6079695395395</v>
      </c>
    </row>
    <row r="54" outlineLevel="1">
      <c r="A54" t="inlineStr" s="19">
        <is>
          <t xml:space="preserve">Inference cost (USD, estimate) &gt; Classroom</t>
        </is>
      </c>
      <c r="B54" s="10">
        <f>'Model inputs'!B57</f>
        <v>0</v>
      </c>
      <c r="C54" s="10">
        <f>'Model inputs'!C252*'Model inputs'!O165</f>
        <v>211.47404999999998</v>
      </c>
      <c r="D54" s="10">
        <f>'Model inputs'!D252*'Model inputs'!O165</f>
        <v>255.0843285</v>
      </c>
      <c r="E54" s="10">
        <f>'Model inputs'!E252*'Model inputs'!O165</f>
        <v>297.38629864499995</v>
      </c>
      <c r="F54" s="10">
        <f>'Model inputs'!F252*'Model inputs'!O165</f>
        <v>338.41920968564995</v>
      </c>
      <c r="G54" s="10">
        <f>'Model inputs'!G252*'Model inputs'!O165</f>
        <v>378.22113339508047</v>
      </c>
      <c r="H54" s="10">
        <f>'Model inputs'!H252*'Model inputs'!O165</f>
        <v>416.82899939322806</v>
      </c>
    </row>
    <row r="55" outlineLevel="1">
      <c r="A55" t="inlineStr" s="19">
        <is>
          <t xml:space="preserve">Inference cost (USD, estimate) &gt; Household</t>
        </is>
      </c>
      <c r="B55" s="10">
        <f>'Model inputs'!B58</f>
        <v>0</v>
      </c>
      <c r="C55" s="10">
        <f>'Model inputs'!C253*'Model inputs'!O165</f>
        <v>105.50390399999998</v>
      </c>
      <c r="D55" s="10">
        <f>'Model inputs'!D253*'Model inputs'!O165</f>
        <v>129.03447167999997</v>
      </c>
      <c r="E55" s="10">
        <f>'Model inputs'!E253*'Model inputs'!O165</f>
        <v>150.6825939456</v>
      </c>
      <c r="F55" s="10">
        <f>'Model inputs'!F253*'Model inputs'!O165</f>
        <v>170.59886642995195</v>
      </c>
      <c r="G55" s="10">
        <f>'Model inputs'!G253*'Model inputs'!O165</f>
        <v>188.9218371155558</v>
      </c>
      <c r="H55" s="10">
        <f>'Model inputs'!H253*'Model inputs'!O165</f>
        <v>205.77897014631137</v>
      </c>
    </row>
    <row r="56">
      <c r="A56" t="inlineStr" s="18">
        <is>
          <t xml:space="preserve">Inference cost (USD, estimate)</t>
        </is>
      </c>
      <c r="B56" s="9">
        <f>SUM('Model inputs'!B57,'Model inputs'!B58)</f>
        <v>0</v>
      </c>
      <c r="C56" s="9">
        <f>SUM('Model inputs'!C57,'Model inputs'!C58)</f>
        <v>188.95730399999997</v>
      </c>
      <c r="D56" s="9">
        <f>SUM('Model inputs'!D57,'Model inputs'!D58)</f>
        <v>203.16694967999996</v>
      </c>
      <c r="E56" s="9">
        <f>SUM('Model inputs'!E57,'Model inputs'!E58)</f>
        <v>216.63887200559998</v>
      </c>
      <c r="F56" s="9">
        <f>SUM('Model inputs'!F57,'Model inputs'!F58)</f>
        <v>229.42011739615197</v>
      </c>
      <c r="G56" s="9">
        <f>SUM('Model inputs'!G57,'Model inputs'!G58)</f>
        <v>241.55432770092978</v>
      </c>
      <c r="H56" s="9">
        <f>SUM('Model inputs'!H57,'Model inputs'!H58)</f>
        <v>253.08200179043132</v>
      </c>
    </row>
    <row r="57" outlineLevel="1">
      <c r="A57" t="inlineStr" s="19">
        <is>
          <t xml:space="preserve">Inference cost (USD, estimate) &gt; Classroom</t>
        </is>
      </c>
      <c r="B57" s="10">
        <f>0</f>
        <v>0</v>
      </c>
      <c r="C57" s="10">
        <f>'Model inputs'!C150*'Model inputs'!O18</f>
        <v>125.7678</v>
      </c>
      <c r="D57" s="10">
        <f>'Model inputs'!D150*'Model inputs'!O18</f>
        <v>133.748766</v>
      </c>
      <c r="E57" s="10">
        <f>'Model inputs'!E150*'Model inputs'!O18</f>
        <v>141.49030302</v>
      </c>
      <c r="F57" s="10">
        <f>'Model inputs'!F150*'Model inputs'!O18</f>
        <v>148.9995939294</v>
      </c>
      <c r="G57" s="10">
        <f>'Model inputs'!G150*'Model inputs'!O18</f>
        <v>156.28360611151797</v>
      </c>
      <c r="H57" s="10">
        <f>'Model inputs'!H150*'Model inputs'!O18</f>
        <v>163.34909792817245</v>
      </c>
    </row>
    <row r="58" outlineLevel="1">
      <c r="A58" t="inlineStr" s="19">
        <is>
          <t xml:space="preserve">Inference cost (USD, estimate) &gt; Household</t>
        </is>
      </c>
      <c r="B58" s="10">
        <f>0</f>
        <v>0</v>
      </c>
      <c r="C58" s="10">
        <f>'Model inputs'!C151*'Model inputs'!O18</f>
        <v>63.189503999999985</v>
      </c>
      <c r="D58" s="10">
        <f>'Model inputs'!D151*'Model inputs'!O18</f>
        <v>69.41818367999998</v>
      </c>
      <c r="E58" s="10">
        <f>'Model inputs'!E151*'Model inputs'!O18</f>
        <v>75.14856898559998</v>
      </c>
      <c r="F58" s="10">
        <f>'Model inputs'!F151*'Model inputs'!O18</f>
        <v>80.42052346675199</v>
      </c>
      <c r="G58" s="10">
        <f>'Model inputs'!G151*'Model inputs'!O18</f>
        <v>85.27072158941182</v>
      </c>
      <c r="H58" s="10">
        <f>'Model inputs'!H151*'Model inputs'!O18</f>
        <v>89.73290386225887</v>
      </c>
    </row>
    <row r="59">
      <c r="A59" t="inlineStr" s="18">
        <is>
          <t xml:space="preserve">Inference cost (USD, estimate)</t>
        </is>
      </c>
      <c r="B59" s="9">
        <f>IF('Model inputs'!B56="","",'Model inputs'!B56)</f>
        <v>0</v>
      </c>
      <c r="C59" s="9">
        <f>IF('Model inputs'!C56="","",'Model inputs'!C56)</f>
        <v>188.95730399999997</v>
      </c>
      <c r="D59" s="9">
        <f>IF('Model inputs'!D56="","",'Model inputs'!D56)</f>
        <v>203.16694967999996</v>
      </c>
      <c r="E59" s="9">
        <f>IF('Model inputs'!E56="","",'Model inputs'!E56)</f>
        <v>216.63887200559998</v>
      </c>
      <c r="F59" s="9">
        <f>IF('Model inputs'!F56="","",'Model inputs'!F56)</f>
        <v>229.42011739615197</v>
      </c>
      <c r="G59" s="9">
        <f>IF('Model inputs'!G56="","",'Model inputs'!G56)</f>
        <v>241.55432770092978</v>
      </c>
      <c r="H59" s="9">
        <f>IF('Model inputs'!H56="","",'Model inputs'!H56)</f>
        <v>253.08200179043132</v>
      </c>
      <c r="I59" s="9">
        <f>SUM('Model inputs'!I60,'Model inputs'!I61)</f>
        <v>264.0407365436054</v>
      </c>
      <c r="J59" s="9">
        <f>SUM('Model inputs'!J60,'Model inputs'!J61)</f>
        <v>274.46544886963335</v>
      </c>
      <c r="K59" s="9">
        <f>SUM('Model inputs'!K60,'Model inputs'!K61)</f>
        <v>284.3885802720936</v>
      </c>
      <c r="L59" s="9">
        <f>SUM('Model inputs'!L60,'Model inputs'!L61)</f>
        <v>293.84028534299597</v>
      </c>
      <c r="M59" s="9">
        <f>SUM('Model inputs'!M60,'Model inputs'!M61)</f>
        <v>302.8486054634462</v>
      </c>
      <c r="N59" s="9">
        <f>SUM('Model inputs'!N60,'Model inputs'!N61)</f>
        <v>311.4396288858236</v>
      </c>
    </row>
    <row r="60" outlineLevel="1">
      <c r="A60" t="inlineStr" s="19">
        <is>
          <t xml:space="preserve">Inference cost (USD, estimate) &gt; Classroom</t>
        </is>
      </c>
      <c r="B60" s="10">
        <f>IF('Model inputs'!B57="","",'Model inputs'!B57)</f>
        <v>0</v>
      </c>
      <c r="C60" s="10">
        <f>IF('Model inputs'!C57="","",'Model inputs'!C57)</f>
        <v>125.7678</v>
      </c>
      <c r="D60" s="10">
        <f>IF('Model inputs'!D57="","",'Model inputs'!D57)</f>
        <v>133.748766</v>
      </c>
      <c r="E60" s="10">
        <f>IF('Model inputs'!E57="","",'Model inputs'!E57)</f>
        <v>141.49030302</v>
      </c>
      <c r="F60" s="10">
        <f>IF('Model inputs'!F57="","",'Model inputs'!F57)</f>
        <v>148.9995939294</v>
      </c>
      <c r="G60" s="10">
        <f>IF('Model inputs'!G57="","",'Model inputs'!G57)</f>
        <v>156.28360611151797</v>
      </c>
      <c r="H60" s="10">
        <f>IF('Model inputs'!H57="","",'Model inputs'!H57)</f>
        <v>163.34909792817245</v>
      </c>
      <c r="I60" s="10">
        <f>'Model inputs'!I150*'Model inputs'!O18</f>
        <v>170.20262499032728</v>
      </c>
      <c r="J60" s="10">
        <f>'Model inputs'!J150*'Model inputs'!O18</f>
        <v>176.85054624061746</v>
      </c>
      <c r="K60" s="10">
        <f>'Model inputs'!K150*'Model inputs'!O18</f>
        <v>183.29902985339893</v>
      </c>
      <c r="L60" s="10">
        <f>'Model inputs'!L150*'Model inputs'!O18</f>
        <v>189.55405895779694</v>
      </c>
      <c r="M60" s="10">
        <f>'Model inputs'!M150*'Model inputs'!O18</f>
        <v>195.62143718906304</v>
      </c>
      <c r="N60" s="10">
        <f>'Model inputs'!N150*'Model inputs'!O18</f>
        <v>201.50679407339115</v>
      </c>
    </row>
    <row r="61" outlineLevel="1">
      <c r="A61" t="inlineStr" s="19">
        <is>
          <t xml:space="preserve">Inference cost (USD, estimate) &gt; Household</t>
        </is>
      </c>
      <c r="B61" s="10">
        <f>IF('Model inputs'!B58="","",'Model inputs'!B58)</f>
        <v>0</v>
      </c>
      <c r="C61" s="10">
        <f>IF('Model inputs'!C58="","",'Model inputs'!C58)</f>
        <v>63.189503999999985</v>
      </c>
      <c r="D61" s="10">
        <f>IF('Model inputs'!D58="","",'Model inputs'!D58)</f>
        <v>69.41818367999998</v>
      </c>
      <c r="E61" s="10">
        <f>IF('Model inputs'!E58="","",'Model inputs'!E58)</f>
        <v>75.14856898559998</v>
      </c>
      <c r="F61" s="10">
        <f>IF('Model inputs'!F58="","",'Model inputs'!F58)</f>
        <v>80.42052346675199</v>
      </c>
      <c r="G61" s="10">
        <f>IF('Model inputs'!G58="","",'Model inputs'!G58)</f>
        <v>85.27072158941182</v>
      </c>
      <c r="H61" s="10">
        <f>IF('Model inputs'!H58="","",'Model inputs'!H58)</f>
        <v>89.73290386225887</v>
      </c>
      <c r="I61" s="10">
        <f>'Model inputs'!I151*'Model inputs'!O18</f>
        <v>93.83811155327815</v>
      </c>
      <c r="J61" s="10">
        <f>'Model inputs'!J151*'Model inputs'!O18</f>
        <v>97.61490262901589</v>
      </c>
      <c r="K61" s="10">
        <f>'Model inputs'!K151*'Model inputs'!O18</f>
        <v>101.08955041869461</v>
      </c>
      <c r="L61" s="10">
        <f>'Model inputs'!L151*'Model inputs'!O18</f>
        <v>104.28622638519904</v>
      </c>
      <c r="M61" s="10">
        <f>'Model inputs'!M151*'Model inputs'!O18</f>
        <v>107.22716827438313</v>
      </c>
      <c r="N61" s="10">
        <f>'Model inputs'!N151*'Model inputs'!O18</f>
        <v>109.93283481243246</v>
      </c>
    </row>
    <row r="62">
      <c r="A62" t="inlineStr" s="18">
        <is>
          <t xml:space="preserve">Monthly churn (assumed)</t>
        </is>
      </c>
      <c r="O62" s="11">
        <v>0</v>
      </c>
    </row>
    <row r="63" outlineLevel="1">
      <c r="A63" t="inlineStr" s="19">
        <is>
          <t xml:space="preserve">Monthly churn (assumed) &gt; Classroom</t>
        </is>
      </c>
      <c r="O63" s="12">
        <f>0.03</f>
        <v>0.03</v>
      </c>
    </row>
    <row r="64" outlineLevel="1">
      <c r="A64" t="inlineStr" s="19">
        <is>
          <t xml:space="preserve">Monthly churn (assumed) &gt; Household</t>
        </is>
      </c>
      <c r="O64" s="12">
        <f>0.08</f>
        <v>0.08</v>
      </c>
    </row>
    <row r="65">
      <c r="A65" t="inlineStr" s="18">
        <is>
          <t xml:space="preserve">neatlogs covered by hackathon credits (1 = yes, assumed) · Gross profit and margin by plan (monthly)</t>
        </is>
      </c>
      <c r="O65" s="14">
        <f>1</f>
        <v>1</v>
      </c>
    </row>
    <row r="66">
      <c r="A66" t="inlineStr" s="18">
        <is>
          <t xml:space="preserve">neatlogs Free plan span cap (published price, unverified for credits) · Gross profit and margin by plan (monthly)</t>
        </is>
      </c>
      <c r="O66" s="14">
        <f>100000</f>
        <v>100000</v>
      </c>
    </row>
    <row r="67">
      <c r="A67" t="inlineStr" s="18">
        <is>
          <t xml:space="preserve">neatlogs price per extra 100k spans (USD, published price) · Gross profit and margin by plan (monthly)</t>
        </is>
      </c>
      <c r="O67" s="10">
        <f>10</f>
        <v>10</v>
      </c>
    </row>
    <row r="68">
      <c r="A68" t="inlineStr" s="18">
        <is>
          <t xml:space="preserve">neatlogs Starter plan included spans (published price) · Gross profit and margin by plan (monthly)</t>
        </is>
      </c>
      <c r="O68" s="14">
        <f>250000</f>
        <v>250000</v>
      </c>
    </row>
    <row r="69">
      <c r="A69" t="inlineStr" s="18">
        <is>
          <t xml:space="preserve">neatlogs Starter plan price per month (USD, published price) · Gross profit and margin by plan (monthly)</t>
        </is>
      </c>
      <c r="O69" s="10">
        <f>99</f>
        <v>99</v>
      </c>
    </row>
    <row r="70">
      <c r="A70" t="inlineStr" s="18">
        <is>
          <t xml:space="preserve">Net cash flow (USD) · Main Scenario</t>
        </is>
      </c>
      <c r="H70" s="10">
        <f>'Model inputs'!H137-'Model inputs'!H208</f>
        <v>519.6349873106051</v>
      </c>
    </row>
    <row r="71">
      <c r="A71" t="inlineStr" s="18">
        <is>
          <t xml:space="preserve">Net cash flow (USD) · Downside</t>
        </is>
      </c>
      <c r="H71" s="10">
        <f>'Model inputs'!H143-'Model inputs'!H209</f>
        <v>231.13827738137223</v>
      </c>
    </row>
    <row r="72">
      <c r="A72" t="inlineStr" s="18">
        <is>
          <t xml:space="preserve">Net cash flow (USD) · Growth</t>
        </is>
      </c>
      <c r="H72" s="10">
        <f>'Model inputs'!H146-'Model inputs'!H210</f>
        <v>748.187664092641</v>
      </c>
    </row>
    <row r="73">
      <c r="A73" t="inlineStr" s="18">
        <is>
          <t xml:space="preserve">New customers</t>
        </is>
      </c>
      <c r="B73" s="6">
        <f>SUM('Model inputs'!B74,'Model inputs'!B75)</f>
        <v>0</v>
      </c>
      <c r="C73" s="6">
        <f>SUM('Model inputs'!C74,'Model inputs'!C75)</f>
        <v>9</v>
      </c>
      <c r="D73" s="6">
        <f>SUM('Model inputs'!D74,'Model inputs'!D75)</f>
        <v>9</v>
      </c>
      <c r="E73" s="6">
        <f>SUM('Model inputs'!E74,'Model inputs'!E75)</f>
        <v>9</v>
      </c>
      <c r="F73" s="6">
        <f>SUM('Model inputs'!F74,'Model inputs'!F75)</f>
        <v>9</v>
      </c>
      <c r="G73" s="6">
        <f>SUM('Model inputs'!G74,'Model inputs'!G75)</f>
        <v>9</v>
      </c>
      <c r="H73" s="6">
        <f>SUM('Model inputs'!H74,'Model inputs'!H75)</f>
        <v>9</v>
      </c>
    </row>
    <row r="74" outlineLevel="1">
      <c r="A74" t="inlineStr" s="19">
        <is>
          <t xml:space="preserve">New customers &gt; Classroom</t>
        </is>
      </c>
      <c r="B74" s="8">
        <f>0</f>
        <v>0</v>
      </c>
      <c r="C74" s="8">
        <f>IF('Model inputs'!O86="","",'Model inputs'!O86)</f>
        <v>1</v>
      </c>
      <c r="D74" s="8">
        <f>IF('Model inputs'!O86="","",'Model inputs'!O86)</f>
        <v>1</v>
      </c>
      <c r="E74" s="8">
        <f>IF('Model inputs'!O86="","",'Model inputs'!O86)</f>
        <v>1</v>
      </c>
      <c r="F74" s="8">
        <f>IF('Model inputs'!O86="","",'Model inputs'!O86)</f>
        <v>1</v>
      </c>
      <c r="G74" s="8">
        <f>IF('Model inputs'!O86="","",'Model inputs'!O86)</f>
        <v>1</v>
      </c>
      <c r="H74" s="8">
        <f>IF('Model inputs'!O86="","",'Model inputs'!O86)</f>
        <v>1</v>
      </c>
    </row>
    <row r="75" outlineLevel="1">
      <c r="A75" t="inlineStr" s="19">
        <is>
          <t xml:space="preserve">New customers &gt; Household</t>
        </is>
      </c>
      <c r="B75" s="8">
        <f>0</f>
        <v>0</v>
      </c>
      <c r="C75" s="8">
        <f>IF('Model inputs'!O87="","",'Model inputs'!O87)</f>
        <v>8</v>
      </c>
      <c r="D75" s="8">
        <f>IF('Model inputs'!O87="","",'Model inputs'!O87)</f>
        <v>8</v>
      </c>
      <c r="E75" s="8">
        <f>IF('Model inputs'!O87="","",'Model inputs'!O87)</f>
        <v>8</v>
      </c>
      <c r="F75" s="8">
        <f>IF('Model inputs'!O87="","",'Model inputs'!O87)</f>
        <v>8</v>
      </c>
      <c r="G75" s="8">
        <f>IF('Model inputs'!O87="","",'Model inputs'!O87)</f>
        <v>8</v>
      </c>
      <c r="H75" s="8">
        <f>IF('Model inputs'!O87="","",'Model inputs'!O87)</f>
        <v>8</v>
      </c>
    </row>
    <row r="76">
      <c r="A76" t="inlineStr" s="18">
        <is>
          <t xml:space="preserve">New customers</t>
        </is>
      </c>
      <c r="B76" s="6">
        <f>IF('Model inputs'!B73="","",'Model inputs'!B73)</f>
        <v>0</v>
      </c>
      <c r="C76" s="6">
        <f>IF('Model inputs'!C73="","",'Model inputs'!C73)</f>
        <v>9</v>
      </c>
      <c r="D76" s="6">
        <f>IF('Model inputs'!D73="","",'Model inputs'!D73)</f>
        <v>9</v>
      </c>
      <c r="E76" s="6">
        <f>IF('Model inputs'!E73="","",'Model inputs'!E73)</f>
        <v>9</v>
      </c>
      <c r="F76" s="6">
        <f>IF('Model inputs'!F73="","",'Model inputs'!F73)</f>
        <v>9</v>
      </c>
      <c r="G76" s="6">
        <f>IF('Model inputs'!G73="","",'Model inputs'!G73)</f>
        <v>9</v>
      </c>
      <c r="H76" s="6">
        <f>IF('Model inputs'!H73="","",'Model inputs'!H73)</f>
        <v>9</v>
      </c>
      <c r="I76" s="6">
        <f>SUM('Model inputs'!I77,'Model inputs'!I78)</f>
        <v>9</v>
      </c>
      <c r="J76" s="6">
        <f>SUM('Model inputs'!J77,'Model inputs'!J78)</f>
        <v>9</v>
      </c>
      <c r="K76" s="6">
        <f>SUM('Model inputs'!K77,'Model inputs'!K78)</f>
        <v>9</v>
      </c>
      <c r="L76" s="6">
        <f>SUM('Model inputs'!L77,'Model inputs'!L78)</f>
        <v>9</v>
      </c>
      <c r="M76" s="6">
        <f>SUM('Model inputs'!M77,'Model inputs'!M78)</f>
        <v>9</v>
      </c>
      <c r="N76" s="6">
        <f>SUM('Model inputs'!N77,'Model inputs'!N78)</f>
        <v>9</v>
      </c>
    </row>
    <row r="77" outlineLevel="1">
      <c r="A77" t="inlineStr" s="19">
        <is>
          <t xml:space="preserve">New customers &gt; Classroom</t>
        </is>
      </c>
      <c r="B77" s="8">
        <f>IF('Model inputs'!B74="","",'Model inputs'!B74)</f>
        <v>0</v>
      </c>
      <c r="C77" s="8">
        <f>IF('Model inputs'!C74="","",'Model inputs'!C74)</f>
        <v>1</v>
      </c>
      <c r="D77" s="8">
        <f>IF('Model inputs'!D74="","",'Model inputs'!D74)</f>
        <v>1</v>
      </c>
      <c r="E77" s="8">
        <f>IF('Model inputs'!E74="","",'Model inputs'!E74)</f>
        <v>1</v>
      </c>
      <c r="F77" s="8">
        <f>IF('Model inputs'!F74="","",'Model inputs'!F74)</f>
        <v>1</v>
      </c>
      <c r="G77" s="8">
        <f>IF('Model inputs'!G74="","",'Model inputs'!G74)</f>
        <v>1</v>
      </c>
      <c r="H77" s="8">
        <f>IF('Model inputs'!H74="","",'Model inputs'!H74)</f>
        <v>1</v>
      </c>
      <c r="I77" s="8">
        <f>IF('Model inputs'!O86="","",'Model inputs'!O86)</f>
        <v>1</v>
      </c>
      <c r="J77" s="8">
        <f>IF('Model inputs'!O86="","",'Model inputs'!O86)</f>
        <v>1</v>
      </c>
      <c r="K77" s="8">
        <f>IF('Model inputs'!O86="","",'Model inputs'!O86)</f>
        <v>1</v>
      </c>
      <c r="L77" s="8">
        <f>IF('Model inputs'!O86="","",'Model inputs'!O86)</f>
        <v>1</v>
      </c>
      <c r="M77" s="8">
        <f>IF('Model inputs'!O86="","",'Model inputs'!O86)</f>
        <v>1</v>
      </c>
      <c r="N77" s="8">
        <f>IF('Model inputs'!O86="","",'Model inputs'!O86)</f>
        <v>1</v>
      </c>
    </row>
    <row r="78" outlineLevel="1">
      <c r="A78" t="inlineStr" s="19">
        <is>
          <t xml:space="preserve">New customers &gt; Household</t>
        </is>
      </c>
      <c r="B78" s="8">
        <f>IF('Model inputs'!B75="","",'Model inputs'!B75)</f>
        <v>0</v>
      </c>
      <c r="C78" s="8">
        <f>IF('Model inputs'!C75="","",'Model inputs'!C75)</f>
        <v>8</v>
      </c>
      <c r="D78" s="8">
        <f>IF('Model inputs'!D75="","",'Model inputs'!D75)</f>
        <v>8</v>
      </c>
      <c r="E78" s="8">
        <f>IF('Model inputs'!E75="","",'Model inputs'!E75)</f>
        <v>8</v>
      </c>
      <c r="F78" s="8">
        <f>IF('Model inputs'!F75="","",'Model inputs'!F75)</f>
        <v>8</v>
      </c>
      <c r="G78" s="8">
        <f>IF('Model inputs'!G75="","",'Model inputs'!G75)</f>
        <v>8</v>
      </c>
      <c r="H78" s="8">
        <f>IF('Model inputs'!H75="","",'Model inputs'!H75)</f>
        <v>8</v>
      </c>
      <c r="I78" s="8">
        <f>IF('Model inputs'!O87="","",'Model inputs'!O87)</f>
        <v>8</v>
      </c>
      <c r="J78" s="8">
        <f>IF('Model inputs'!O87="","",'Model inputs'!O87)</f>
        <v>8</v>
      </c>
      <c r="K78" s="8">
        <f>IF('Model inputs'!O87="","",'Model inputs'!O87)</f>
        <v>8</v>
      </c>
      <c r="L78" s="8">
        <f>IF('Model inputs'!O87="","",'Model inputs'!O87)</f>
        <v>8</v>
      </c>
      <c r="M78" s="8">
        <f>IF('Model inputs'!O87="","",'Model inputs'!O87)</f>
        <v>8</v>
      </c>
      <c r="N78" s="8">
        <f>IF('Model inputs'!O87="","",'Model inputs'!O87)</f>
        <v>8</v>
      </c>
    </row>
    <row r="79">
      <c r="A79" t="inlineStr" s="18">
        <is>
          <t xml:space="preserve">New customers</t>
        </is>
      </c>
      <c r="B79" s="6">
        <f>SUM('Model inputs'!B80,'Model inputs'!B81)</f>
        <v>0</v>
      </c>
      <c r="C79" s="6">
        <f>SUM('Model inputs'!C80,'Model inputs'!C81)</f>
        <v>9</v>
      </c>
      <c r="D79" s="6">
        <f>SUM('Model inputs'!D80,'Model inputs'!D81)</f>
        <v>9</v>
      </c>
      <c r="E79" s="6">
        <f>SUM('Model inputs'!E80,'Model inputs'!E81)</f>
        <v>9</v>
      </c>
      <c r="F79" s="6">
        <f>SUM('Model inputs'!F80,'Model inputs'!F81)</f>
        <v>9</v>
      </c>
      <c r="G79" s="6">
        <f>SUM('Model inputs'!G80,'Model inputs'!G81)</f>
        <v>9</v>
      </c>
      <c r="H79" s="6">
        <f>SUM('Model inputs'!H80,'Model inputs'!H81)</f>
        <v>9</v>
      </c>
    </row>
    <row r="80" outlineLevel="1">
      <c r="A80" t="inlineStr" s="19">
        <is>
          <t xml:space="preserve">New customers &gt; Classroom</t>
        </is>
      </c>
      <c r="B80" s="8">
        <f>'Model inputs'!B74</f>
        <v>0</v>
      </c>
      <c r="C80" s="8">
        <f>IF('Model inputs'!O203="","",'Model inputs'!O203)</f>
        <v>1</v>
      </c>
      <c r="D80" s="8">
        <f>IF('Model inputs'!O203="","",'Model inputs'!O203)</f>
        <v>1</v>
      </c>
      <c r="E80" s="8">
        <f>IF('Model inputs'!O203="","",'Model inputs'!O203)</f>
        <v>1</v>
      </c>
      <c r="F80" s="8">
        <f>IF('Model inputs'!O203="","",'Model inputs'!O203)</f>
        <v>1</v>
      </c>
      <c r="G80" s="8">
        <f>IF('Model inputs'!O203="","",'Model inputs'!O203)</f>
        <v>1</v>
      </c>
      <c r="H80" s="8">
        <f>IF('Model inputs'!O203="","",'Model inputs'!O203)</f>
        <v>1</v>
      </c>
    </row>
    <row r="81" outlineLevel="1">
      <c r="A81" t="inlineStr" s="19">
        <is>
          <t xml:space="preserve">New customers &gt; Household</t>
        </is>
      </c>
      <c r="B81" s="8">
        <f>'Model inputs'!B75</f>
        <v>0</v>
      </c>
      <c r="C81" s="8">
        <f>IF('Model inputs'!O204="","",'Model inputs'!O204)</f>
        <v>8</v>
      </c>
      <c r="D81" s="8">
        <f>IF('Model inputs'!O204="","",'Model inputs'!O204)</f>
        <v>8</v>
      </c>
      <c r="E81" s="8">
        <f>IF('Model inputs'!O204="","",'Model inputs'!O204)</f>
        <v>8</v>
      </c>
      <c r="F81" s="8">
        <f>IF('Model inputs'!O204="","",'Model inputs'!O204)</f>
        <v>8</v>
      </c>
      <c r="G81" s="8">
        <f>IF('Model inputs'!O204="","",'Model inputs'!O204)</f>
        <v>8</v>
      </c>
      <c r="H81" s="8">
        <f>IF('Model inputs'!O204="","",'Model inputs'!O204)</f>
        <v>8</v>
      </c>
    </row>
    <row r="82">
      <c r="A82" t="inlineStr" s="18">
        <is>
          <t xml:space="preserve">New customers</t>
        </is>
      </c>
      <c r="B82" s="6">
        <f>SUM('Model inputs'!B83,'Model inputs'!B84)</f>
        <v>0</v>
      </c>
      <c r="C82" s="6">
        <f>SUM('Model inputs'!C83,'Model inputs'!C84)</f>
        <v>19</v>
      </c>
      <c r="D82" s="6">
        <f>SUM('Model inputs'!D83,'Model inputs'!D84)</f>
        <v>19</v>
      </c>
      <c r="E82" s="6">
        <f>SUM('Model inputs'!E83,'Model inputs'!E84)</f>
        <v>19</v>
      </c>
      <c r="F82" s="6">
        <f>SUM('Model inputs'!F83,'Model inputs'!F84)</f>
        <v>19</v>
      </c>
      <c r="G82" s="6">
        <f>SUM('Model inputs'!G83,'Model inputs'!G84)</f>
        <v>19</v>
      </c>
      <c r="H82" s="6">
        <f>SUM('Model inputs'!H83,'Model inputs'!H84)</f>
        <v>19</v>
      </c>
    </row>
    <row r="83" outlineLevel="1">
      <c r="A83" t="inlineStr" s="19">
        <is>
          <t xml:space="preserve">New customers &gt; Classroom</t>
        </is>
      </c>
      <c r="B83" s="8">
        <f>'Model inputs'!B74</f>
        <v>0</v>
      </c>
      <c r="C83" s="8">
        <f>IF('Model inputs'!O206="","",'Model inputs'!O206)</f>
        <v>3</v>
      </c>
      <c r="D83" s="8">
        <f>IF('Model inputs'!O206="","",'Model inputs'!O206)</f>
        <v>3</v>
      </c>
      <c r="E83" s="8">
        <f>IF('Model inputs'!O206="","",'Model inputs'!O206)</f>
        <v>3</v>
      </c>
      <c r="F83" s="8">
        <f>IF('Model inputs'!O206="","",'Model inputs'!O206)</f>
        <v>3</v>
      </c>
      <c r="G83" s="8">
        <f>IF('Model inputs'!O206="","",'Model inputs'!O206)</f>
        <v>3</v>
      </c>
      <c r="H83" s="8">
        <f>IF('Model inputs'!O206="","",'Model inputs'!O206)</f>
        <v>3</v>
      </c>
    </row>
    <row r="84" outlineLevel="1">
      <c r="A84" t="inlineStr" s="19">
        <is>
          <t xml:space="preserve">New customers &gt; Household</t>
        </is>
      </c>
      <c r="B84" s="8">
        <f>'Model inputs'!B75</f>
        <v>0</v>
      </c>
      <c r="C84" s="8">
        <f>IF('Model inputs'!O207="","",'Model inputs'!O207)</f>
        <v>16</v>
      </c>
      <c r="D84" s="8">
        <f>IF('Model inputs'!O207="","",'Model inputs'!O207)</f>
        <v>16</v>
      </c>
      <c r="E84" s="8">
        <f>IF('Model inputs'!O207="","",'Model inputs'!O207)</f>
        <v>16</v>
      </c>
      <c r="F84" s="8">
        <f>IF('Model inputs'!O207="","",'Model inputs'!O207)</f>
        <v>16</v>
      </c>
      <c r="G84" s="8">
        <f>IF('Model inputs'!O207="","",'Model inputs'!O207)</f>
        <v>16</v>
      </c>
      <c r="H84" s="8">
        <f>IF('Model inputs'!O207="","",'Model inputs'!O207)</f>
        <v>16</v>
      </c>
    </row>
    <row r="85">
      <c r="A85" t="inlineStr" s="18">
        <is>
          <t xml:space="preserve">New customers per month (assumed)</t>
        </is>
      </c>
      <c r="O85" s="16">
        <v>0</v>
      </c>
    </row>
    <row r="86" outlineLevel="1">
      <c r="A86" t="inlineStr" s="19">
        <is>
          <t xml:space="preserve">New customers per month (assumed) &gt; Classroom</t>
        </is>
      </c>
      <c r="O86" s="14">
        <f>1</f>
        <v>1</v>
      </c>
    </row>
    <row r="87" outlineLevel="1">
      <c r="A87" t="inlineStr" s="19">
        <is>
          <t xml:space="preserve">New customers per month (assumed) &gt; Household</t>
        </is>
      </c>
      <c r="O87" s="14">
        <f>8</f>
        <v>8</v>
      </c>
    </row>
    <row r="88">
      <c r="A88" t="inlineStr" s="18">
        <is>
          <t xml:space="preserve">Overage price per extra story (USD, assumed)</t>
        </is>
      </c>
      <c r="O88" s="22">
        <v>0</v>
      </c>
    </row>
    <row r="89" outlineLevel="1">
      <c r="A89" t="inlineStr" s="19">
        <is>
          <t xml:space="preserve">Overage price per extra story (USD, assumed) &gt; Classroom</t>
        </is>
      </c>
      <c r="O89" s="23">
        <f>0.25</f>
        <v>0.25</v>
      </c>
    </row>
    <row r="90" outlineLevel="1">
      <c r="A90" t="inlineStr" s="19">
        <is>
          <t xml:space="preserve">Overage price per extra story (USD, assumed) &gt; Household</t>
        </is>
      </c>
      <c r="O90" s="23">
        <f>0.6</f>
        <v>0.6</v>
      </c>
    </row>
    <row r="91">
      <c r="A91" t="inlineStr" s="18">
        <is>
          <t xml:space="preserve">Overage revenue (USD)</t>
        </is>
      </c>
      <c r="B91" s="9">
        <f>SUM('Model inputs'!B92,'Model inputs'!B93)</f>
        <v>0</v>
      </c>
      <c r="C91" s="9">
        <f>SUM('Model inputs'!C92,'Model inputs'!C93)</f>
        <v>0</v>
      </c>
      <c r="D91" s="9">
        <f>SUM('Model inputs'!D92,'Model inputs'!D93)</f>
        <v>0</v>
      </c>
      <c r="E91" s="9">
        <f>SUM('Model inputs'!E92,'Model inputs'!E93)</f>
        <v>0</v>
      </c>
      <c r="F91" s="9">
        <f>SUM('Model inputs'!F92,'Model inputs'!F93)</f>
        <v>0</v>
      </c>
      <c r="G91" s="9">
        <f>SUM('Model inputs'!G92,'Model inputs'!G93)</f>
        <v>0</v>
      </c>
      <c r="H91" s="9">
        <f>SUM('Model inputs'!H92,'Model inputs'!H93)</f>
        <v>0</v>
      </c>
    </row>
    <row r="92" outlineLevel="1">
      <c r="A92" t="inlineStr" s="19">
        <is>
          <t xml:space="preserve">Overage revenue (USD) &gt; Classroom</t>
        </is>
      </c>
      <c r="B92" s="10">
        <f>'Model inputs'!B98</f>
        <v>0</v>
      </c>
      <c r="C92" s="10">
        <f>'Model inputs'!C29*IF(IF(IF(IF(ISERROR('Model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inputs'!O212,0)="",0,IF(IF(IF(ISERROR('Model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inputs'!O212,0))</f>
        <v>0</v>
      </c>
      <c r="D92" s="10">
        <f>'Model inputs'!D29*IF(IF(IF(IF(ISERROR('Model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inputs'!O212,0)="",0,IF(IF(IF(ISERROR('Model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inputs'!O212,0))</f>
        <v>0</v>
      </c>
      <c r="E92" s="10">
        <f>'Model inputs'!E29*IF(IF(IF(IF(ISERROR('Model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inputs'!O212,0)="",0,IF(IF(IF(ISERROR('Model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inputs'!O212,0))</f>
        <v>0</v>
      </c>
      <c r="F92" s="10">
        <f>'Model inputs'!F29*IF(IF(IF(IF(ISERROR('Model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inputs'!O212,0)="",0,IF(IF(IF(ISERROR('Model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inputs'!O212,0))</f>
        <v>0</v>
      </c>
      <c r="G92" s="10">
        <f>'Model inputs'!G29*IF(IF(IF(IF(ISERROR('Model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inputs'!O212,0)="",0,IF(IF(IF(ISERROR('Model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inputs'!O212,0))</f>
        <v>0</v>
      </c>
      <c r="H92" s="10">
        <f>'Model inputs'!H29*IF(IF(IF(IF(ISERROR('Model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inputs'!O212,0)="",0,IF(IF(IF(ISERROR('Model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inputs'!O212,0))</f>
        <v>0</v>
      </c>
    </row>
    <row r="93" outlineLevel="1">
      <c r="A93" t="inlineStr" s="19">
        <is>
          <t xml:space="preserve">Overage revenue (USD) &gt; Household</t>
        </is>
      </c>
      <c r="B93" s="10">
        <f>'Model inputs'!B99</f>
        <v>0</v>
      </c>
      <c r="C93" s="10">
        <f>'Model inputs'!C30*IF(IF(IF(IF(ISERROR('Model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inputs'!O213,0)="",0,IF(IF(IF(ISERROR('Model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inputs'!O213,0))</f>
        <v>0</v>
      </c>
      <c r="D93" s="10">
        <f>'Model inputs'!D30*IF(IF(IF(IF(ISERROR('Model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inputs'!O213,0)="",0,IF(IF(IF(ISERROR('Model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inputs'!O213,0))</f>
        <v>0</v>
      </c>
      <c r="E93" s="10">
        <f>'Model inputs'!E30*IF(IF(IF(IF(ISERROR('Model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inputs'!O213,0)="",0,IF(IF(IF(ISERROR('Model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inputs'!O213,0))</f>
        <v>0</v>
      </c>
      <c r="F93" s="10">
        <f>'Model inputs'!F30*IF(IF(IF(IF(ISERROR('Model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inputs'!O213,0)="",0,IF(IF(IF(ISERROR('Model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inputs'!O213,0))</f>
        <v>0</v>
      </c>
      <c r="G93" s="10">
        <f>'Model inputs'!G30*IF(IF(IF(IF(ISERROR('Model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inputs'!O213,0)="",0,IF(IF(IF(ISERROR('Model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inputs'!O213,0))</f>
        <v>0</v>
      </c>
      <c r="H93" s="10">
        <f>'Model inputs'!H30*IF(IF(IF(IF(ISERROR('Model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inputs'!O213,0)="",0,IF(IF(IF(ISERROR('Model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inputs'!O213,0))</f>
        <v>0</v>
      </c>
    </row>
    <row r="94">
      <c r="A94" t="inlineStr" s="18">
        <is>
          <t xml:space="preserve">Overage revenue (USD)</t>
        </is>
      </c>
      <c r="B94" s="9">
        <f>SUM('Model inputs'!B95,'Model inputs'!B96)</f>
        <v>0</v>
      </c>
      <c r="C94" s="9">
        <f>SUM('Model inputs'!C95,'Model inputs'!C96)</f>
        <v>0</v>
      </c>
      <c r="D94" s="9">
        <f>SUM('Model inputs'!D95,'Model inputs'!D96)</f>
        <v>0</v>
      </c>
      <c r="E94" s="9">
        <f>SUM('Model inputs'!E95,'Model inputs'!E96)</f>
        <v>0</v>
      </c>
      <c r="F94" s="9">
        <f>SUM('Model inputs'!F95,'Model inputs'!F96)</f>
        <v>0</v>
      </c>
      <c r="G94" s="9">
        <f>SUM('Model inputs'!G95,'Model inputs'!G96)</f>
        <v>0</v>
      </c>
      <c r="H94" s="9">
        <f>SUM('Model inputs'!H95,'Model inputs'!H96)</f>
        <v>0</v>
      </c>
    </row>
    <row r="95" outlineLevel="1">
      <c r="A95" t="inlineStr" s="19">
        <is>
          <t xml:space="preserve">Overage revenue (USD) &gt; Classroom</t>
        </is>
      </c>
      <c r="B95" s="10">
        <f>'Model inputs'!B98</f>
        <v>0</v>
      </c>
      <c r="C95" s="10">
        <f>'Model inputs'!C32*IF(IF(IF(IF(ISERROR('Model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inputs'!O215,0)="",0,IF(IF(IF(ISERROR('Model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inputs'!O215,0))</f>
        <v>0</v>
      </c>
      <c r="D95" s="10">
        <f>'Model inputs'!D32*IF(IF(IF(IF(ISERROR('Model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inputs'!O215,0)="",0,IF(IF(IF(ISERROR('Model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inputs'!O215,0))</f>
        <v>0</v>
      </c>
      <c r="E95" s="10">
        <f>'Model inputs'!E32*IF(IF(IF(IF(ISERROR('Model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inputs'!O215,0)="",0,IF(IF(IF(ISERROR('Model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inputs'!O215,0))</f>
        <v>0</v>
      </c>
      <c r="F95" s="10">
        <f>'Model inputs'!F32*IF(IF(IF(IF(ISERROR('Model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inputs'!O215,0)="",0,IF(IF(IF(ISERROR('Model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inputs'!O215,0))</f>
        <v>0</v>
      </c>
      <c r="G95" s="10">
        <f>'Model inputs'!G32*IF(IF(IF(IF(ISERROR('Model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inputs'!O215,0)="",0,IF(IF(IF(ISERROR('Model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inputs'!O215,0))</f>
        <v>0</v>
      </c>
      <c r="H95" s="10">
        <f>'Model inputs'!H32*IF(IF(IF(IF(ISERROR('Model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inputs'!O215,0)="",0,IF(IF(IF(ISERROR('Model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inputs'!O215,0))</f>
        <v>0</v>
      </c>
    </row>
    <row r="96" outlineLevel="1">
      <c r="A96" t="inlineStr" s="19">
        <is>
          <t xml:space="preserve">Overage revenue (USD) &gt; Household</t>
        </is>
      </c>
      <c r="B96" s="10">
        <f>'Model inputs'!B99</f>
        <v>0</v>
      </c>
      <c r="C96" s="10">
        <f>'Model inputs'!C33*IF(IF(IF(IF(ISERROR('Model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inputs'!O216,0)="",0,IF(IF(IF(ISERROR('Model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inputs'!O216,0))</f>
        <v>0</v>
      </c>
      <c r="D96" s="10">
        <f>'Model inputs'!D33*IF(IF(IF(IF(ISERROR('Model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inputs'!O216,0)="",0,IF(IF(IF(ISERROR('Model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inputs'!O216,0))</f>
        <v>0</v>
      </c>
      <c r="E96" s="10">
        <f>'Model inputs'!E33*IF(IF(IF(IF(ISERROR('Model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inputs'!O216,0)="",0,IF(IF(IF(ISERROR('Model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inputs'!O216,0))</f>
        <v>0</v>
      </c>
      <c r="F96" s="10">
        <f>'Model inputs'!F33*IF(IF(IF(IF(ISERROR('Model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inputs'!O216,0)="",0,IF(IF(IF(ISERROR('Model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inputs'!O216,0))</f>
        <v>0</v>
      </c>
      <c r="G96" s="10">
        <f>'Model inputs'!G33*IF(IF(IF(IF(ISERROR('Model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inputs'!O216,0)="",0,IF(IF(IF(ISERROR('Model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inputs'!O216,0))</f>
        <v>0</v>
      </c>
      <c r="H96" s="10">
        <f>'Model inputs'!H33*IF(IF(IF(IF(ISERROR('Model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inputs'!O216,0)="",0,IF(IF(IF(ISERROR('Model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inputs'!O216,0))</f>
        <v>0</v>
      </c>
    </row>
    <row r="97">
      <c r="A97" t="inlineStr" s="18">
        <is>
          <t xml:space="preserve">Overage revenue (USD)</t>
        </is>
      </c>
      <c r="B97" s="9">
        <f>SUM('Model inputs'!B98,'Model inputs'!B99)</f>
        <v>0</v>
      </c>
      <c r="C97" s="9">
        <f>SUM('Model inputs'!C98,'Model inputs'!C99)</f>
        <v>0</v>
      </c>
      <c r="D97" s="9">
        <f>SUM('Model inputs'!D98,'Model inputs'!D99)</f>
        <v>0</v>
      </c>
      <c r="E97" s="9">
        <f>SUM('Model inputs'!E98,'Model inputs'!E99)</f>
        <v>0</v>
      </c>
      <c r="F97" s="9">
        <f>SUM('Model inputs'!F98,'Model inputs'!F99)</f>
        <v>0</v>
      </c>
      <c r="G97" s="9">
        <f>SUM('Model inputs'!G98,'Model inputs'!G99)</f>
        <v>0</v>
      </c>
      <c r="H97" s="9">
        <f>SUM('Model inputs'!H98,'Model inputs'!H99)</f>
        <v>0</v>
      </c>
    </row>
    <row r="98" outlineLevel="1">
      <c r="A98" t="inlineStr" s="19">
        <is>
          <t xml:space="preserve">Overage revenue (USD) &gt; Classroom</t>
        </is>
      </c>
      <c r="B98" s="10">
        <f>0</f>
        <v>0</v>
      </c>
      <c r="C98" s="10">
        <f>'Model inputs'!C23*IF(IF(IF(IF(ISERROR('Model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D98" s="10">
        <f>'Model inputs'!D23*IF(IF(IF(IF(ISERROR('Model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E98" s="10">
        <f>'Model inputs'!E23*IF(IF(IF(IF(ISERROR('Model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F98" s="10">
        <f>'Model inputs'!F23*IF(IF(IF(IF(ISERROR('Model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G98" s="10">
        <f>'Model inputs'!G23*IF(IF(IF(IF(ISERROR('Model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H98" s="10">
        <f>'Model inputs'!H23*IF(IF(IF(IF(ISERROR('Model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</row>
    <row r="99" outlineLevel="1">
      <c r="A99" t="inlineStr" s="19">
        <is>
          <t xml:space="preserve">Overage revenue (USD) &gt; Household</t>
        </is>
      </c>
      <c r="B99" s="10">
        <f>0</f>
        <v>0</v>
      </c>
      <c r="C99" s="10">
        <f>'Model inputs'!C24*IF(IF(IF(IF(ISERROR('Model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D99" s="10">
        <f>'Model inputs'!D24*IF(IF(IF(IF(ISERROR('Model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E99" s="10">
        <f>'Model inputs'!E24*IF(IF(IF(IF(ISERROR('Model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F99" s="10">
        <f>'Model inputs'!F24*IF(IF(IF(IF(ISERROR('Model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G99" s="10">
        <f>'Model inputs'!G24*IF(IF(IF(IF(ISERROR('Model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H99" s="10">
        <f>'Model inputs'!H24*IF(IF(IF(IF(ISERROR('Model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</row>
    <row r="100">
      <c r="A100" t="inlineStr" s="18">
        <is>
          <t xml:space="preserve">Overage revenue (USD)</t>
        </is>
      </c>
      <c r="B100" s="9">
        <f>IF('Model inputs'!B97="","",'Model inputs'!B97)</f>
        <v>0</v>
      </c>
      <c r="C100" s="9">
        <f>IF('Model inputs'!C97="","",'Model inputs'!C97)</f>
        <v>0</v>
      </c>
      <c r="D100" s="9">
        <f>IF('Model inputs'!D97="","",'Model inputs'!D97)</f>
        <v>0</v>
      </c>
      <c r="E100" s="9">
        <f>IF('Model inputs'!E97="","",'Model inputs'!E97)</f>
        <v>0</v>
      </c>
      <c r="F100" s="9">
        <f>IF('Model inputs'!F97="","",'Model inputs'!F97)</f>
        <v>0</v>
      </c>
      <c r="G100" s="9">
        <f>IF('Model inputs'!G97="","",'Model inputs'!G97)</f>
        <v>0</v>
      </c>
      <c r="H100" s="9">
        <f>IF('Model inputs'!H97="","",'Model inputs'!H97)</f>
        <v>0</v>
      </c>
      <c r="I100" s="9">
        <f>SUM('Model inputs'!I101,'Model inputs'!I102)</f>
        <v>0</v>
      </c>
      <c r="J100" s="9">
        <f>SUM('Model inputs'!J101,'Model inputs'!J102)</f>
        <v>0</v>
      </c>
      <c r="K100" s="9">
        <f>SUM('Model inputs'!K101,'Model inputs'!K102)</f>
        <v>0</v>
      </c>
      <c r="L100" s="9">
        <f>SUM('Model inputs'!L101,'Model inputs'!L102)</f>
        <v>0</v>
      </c>
      <c r="M100" s="9">
        <f>SUM('Model inputs'!M101,'Model inputs'!M102)</f>
        <v>0</v>
      </c>
      <c r="N100" s="9">
        <f>SUM('Model inputs'!N101,'Model inputs'!N102)</f>
        <v>0</v>
      </c>
    </row>
    <row r="101" outlineLevel="1">
      <c r="A101" t="inlineStr" s="19">
        <is>
          <t xml:space="preserve">Overage revenue (USD) &gt; Classroom</t>
        </is>
      </c>
      <c r="B101" s="10">
        <f>IF('Model inputs'!B98="","",'Model inputs'!B98)</f>
        <v>0</v>
      </c>
      <c r="C101" s="10">
        <f>IF('Model inputs'!C98="","",'Model inputs'!C98)</f>
        <v>0</v>
      </c>
      <c r="D101" s="10">
        <f>IF('Model inputs'!D98="","",'Model inputs'!D98)</f>
        <v>0</v>
      </c>
      <c r="E101" s="10">
        <f>IF('Model inputs'!E98="","",'Model inputs'!E98)</f>
        <v>0</v>
      </c>
      <c r="F101" s="10">
        <f>IF('Model inputs'!F98="","",'Model inputs'!F98)</f>
        <v>0</v>
      </c>
      <c r="G101" s="10">
        <f>IF('Model inputs'!G98="","",'Model inputs'!G98)</f>
        <v>0</v>
      </c>
      <c r="H101" s="10">
        <f>IF('Model inputs'!H98="","",'Model inputs'!H98)</f>
        <v>0</v>
      </c>
      <c r="I101" s="10">
        <f>'Model inputs'!I26*IF(IF(IF(IF(ISERROR('Model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J101" s="10">
        <f>'Model inputs'!J26*IF(IF(IF(IF(ISERROR('Model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K101" s="10">
        <f>'Model inputs'!K26*IF(IF(IF(IF(ISERROR('Model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L101" s="10">
        <f>'Model inputs'!L26*IF(IF(IF(IF(ISERROR('Model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M101" s="10">
        <f>'Model inputs'!M26*IF(IF(IF(IF(ISERROR('Model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  <c r="N101" s="10">
        <f>'Model inputs'!N26*IF(IF(IF(IF(ISERROR('Model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inputs'!O89,0)="",0,IF(IF(IF(ISERROR('Model inputs'!O111&gt;'Model inputs'!O108),'Model inputs'!O111&gt;'Model inputs'!O108,IF(OR('Model inputs'!O111="",'Model inputs'!O108=""),"",'Model inputs'!O111&gt;'Model inputs'!O108))="",FALSE,IF(ISERROR('Model inputs'!O111&gt;'Model inputs'!O108),'Model inputs'!O111&gt;'Model inputs'!O108,IF(OR('Model inputs'!O111="",'Model inputs'!O108=""),"",'Model inputs'!O111&gt;'Model inputs'!O108))),('Model inputs'!O111-'Model inputs'!O108)*'Model inputs'!O89,0))</f>
        <v>0</v>
      </c>
    </row>
    <row r="102" outlineLevel="1">
      <c r="A102" t="inlineStr" s="19">
        <is>
          <t xml:space="preserve">Overage revenue (USD) &gt; Household</t>
        </is>
      </c>
      <c r="B102" s="10">
        <f>IF('Model inputs'!B99="","",'Model inputs'!B99)</f>
        <v>0</v>
      </c>
      <c r="C102" s="10">
        <f>IF('Model inputs'!C99="","",'Model inputs'!C99)</f>
        <v>0</v>
      </c>
      <c r="D102" s="10">
        <f>IF('Model inputs'!D99="","",'Model inputs'!D99)</f>
        <v>0</v>
      </c>
      <c r="E102" s="10">
        <f>IF('Model inputs'!E99="","",'Model inputs'!E99)</f>
        <v>0</v>
      </c>
      <c r="F102" s="10">
        <f>IF('Model inputs'!F99="","",'Model inputs'!F99)</f>
        <v>0</v>
      </c>
      <c r="G102" s="10">
        <f>IF('Model inputs'!G99="","",'Model inputs'!G99)</f>
        <v>0</v>
      </c>
      <c r="H102" s="10">
        <f>IF('Model inputs'!H99="","",'Model inputs'!H99)</f>
        <v>0</v>
      </c>
      <c r="I102" s="10">
        <f>'Model inputs'!I27*IF(IF(IF(IF(ISERROR('Model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J102" s="10">
        <f>'Model inputs'!J27*IF(IF(IF(IF(ISERROR('Model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K102" s="10">
        <f>'Model inputs'!K27*IF(IF(IF(IF(ISERROR('Model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L102" s="10">
        <f>'Model inputs'!L27*IF(IF(IF(IF(ISERROR('Model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M102" s="10">
        <f>'Model inputs'!M27*IF(IF(IF(IF(ISERROR('Model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  <c r="N102" s="10">
        <f>'Model inputs'!N27*IF(IF(IF(IF(ISERROR('Model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inputs'!O90,0)="",0,IF(IF(IF(ISERROR('Model inputs'!O112&gt;'Model inputs'!O109),'Model inputs'!O112&gt;'Model inputs'!O109,IF(OR('Model inputs'!O112="",'Model inputs'!O109=""),"",'Model inputs'!O112&gt;'Model inputs'!O109))="",FALSE,IF(ISERROR('Model inputs'!O112&gt;'Model inputs'!O109),'Model inputs'!O112&gt;'Model inputs'!O109,IF(OR('Model inputs'!O112="",'Model inputs'!O109=""),"",'Model inputs'!O112&gt;'Model inputs'!O109))),('Model inputs'!O112-'Model inputs'!O109)*'Model inputs'!O90,0))</f>
        <v>0</v>
      </c>
    </row>
    <row r="103">
      <c r="A103" t="inlineStr" s="18">
        <is>
          <t xml:space="preserve">Price per month (USD, assumed)</t>
        </is>
      </c>
      <c r="O103" s="22">
        <v>0</v>
      </c>
    </row>
    <row r="104" outlineLevel="1">
      <c r="A104" t="inlineStr" s="19">
        <is>
          <t xml:space="preserve">Price per month (USD, assumed) &gt; Classroom</t>
        </is>
      </c>
      <c r="O104" s="23">
        <f>29</f>
        <v>29</v>
      </c>
    </row>
    <row r="105" outlineLevel="1">
      <c r="A105" t="inlineStr" s="19">
        <is>
          <t xml:space="preserve">Price per month (USD, assumed) &gt; Household</t>
        </is>
      </c>
      <c r="O105" s="23">
        <f>6.99</f>
        <v>6.99</v>
      </c>
    </row>
    <row r="106">
      <c r="A106" t="inlineStr" s="18">
        <is>
          <t xml:space="preserve">Spans per story (assumed placeholder) · Gross profit and margin by plan (monthly)</t>
        </is>
      </c>
      <c r="O106" s="14">
        <f>150</f>
        <v>150</v>
      </c>
    </row>
    <row r="107">
      <c r="A107" t="inlineStr" s="18">
        <is>
          <t xml:space="preserve">Stories included per month (assumed)</t>
        </is>
      </c>
      <c r="O107" s="16">
        <v>0</v>
      </c>
    </row>
    <row r="108" outlineLevel="1">
      <c r="A108" t="inlineStr" s="19">
        <is>
          <t xml:space="preserve">Stories included per month (assumed) &gt; Classroom</t>
        </is>
      </c>
      <c r="O108" s="14">
        <f>100</f>
        <v>100</v>
      </c>
    </row>
    <row r="109" outlineLevel="1">
      <c r="A109" t="inlineStr" s="19">
        <is>
          <t xml:space="preserve">Stories included per month (assumed) &gt; Household</t>
        </is>
      </c>
      <c r="O109" s="14">
        <f>12</f>
        <v>12</v>
      </c>
    </row>
    <row r="110">
      <c r="A110" t="inlineStr" s="18">
        <is>
          <t xml:space="preserve">Stories used per customer (derived)</t>
        </is>
      </c>
      <c r="O110" s="6">
        <f>'Model inputs'!O266*'Model inputs'!O107</f>
        <v>0</v>
      </c>
    </row>
    <row r="111" outlineLevel="1">
      <c r="A111" t="inlineStr" s="19">
        <is>
          <t xml:space="preserve">Stories used per customer (derived) &gt; Classroom</t>
        </is>
      </c>
      <c r="O111" s="8">
        <f>'Model inputs'!O267*'Model inputs'!O108</f>
        <v>60</v>
      </c>
    </row>
    <row r="112" outlineLevel="1">
      <c r="A112" t="inlineStr" s="19">
        <is>
          <t xml:space="preserve">Stories used per customer (derived) &gt; Household</t>
        </is>
      </c>
      <c r="O112" s="8">
        <f>'Model inputs'!O268*'Model inputs'!O109</f>
        <v>7.199999999999999</v>
      </c>
    </row>
    <row r="113">
      <c r="A113" t="inlineStr" s="18">
        <is>
          <t xml:space="preserve">Subscription revenue (USD)</t>
        </is>
      </c>
      <c r="B113" s="9">
        <f>SUM('Model inputs'!B114,'Model inputs'!B115)</f>
        <v>0</v>
      </c>
      <c r="C113" s="9">
        <f>SUM('Model inputs'!C114,'Model inputs'!C115)</f>
        <v>595.1800000000001</v>
      </c>
      <c r="D113" s="9">
        <f>SUM('Model inputs'!D114,'Model inputs'!D115)</f>
        <v>617.9670000000001</v>
      </c>
      <c r="E113" s="9">
        <f>SUM('Model inputs'!E114,'Model inputs'!E115)</f>
        <v>638.31731</v>
      </c>
      <c r="F113" s="9">
        <f>SUM('Model inputs'!F114,'Model inputs'!F115)</f>
        <v>656.5375519000002</v>
      </c>
      <c r="G113" s="9">
        <f>SUM('Model inputs'!G114,'Model inputs'!G115)</f>
        <v>672.891887211</v>
      </c>
      <c r="H113" s="9">
        <f>SUM('Model inputs'!H114,'Model inputs'!H115)</f>
        <v>687.6081741395901</v>
      </c>
    </row>
    <row r="114" outlineLevel="1">
      <c r="A114" t="inlineStr" s="19">
        <is>
          <t xml:space="preserve">Subscription revenue (USD) &gt; Classroom</t>
        </is>
      </c>
      <c r="B114" s="10">
        <f>'Model inputs'!B120</f>
        <v>0</v>
      </c>
      <c r="C114" s="10">
        <f>'Model inputs'!C29*'Model inputs'!O218</f>
        <v>301.6</v>
      </c>
      <c r="D114" s="10">
        <f>'Model inputs'!D29*'Model inputs'!O218</f>
        <v>312.504</v>
      </c>
      <c r="E114" s="10">
        <f>'Model inputs'!E29*'Model inputs'!O218</f>
        <v>322.75376</v>
      </c>
      <c r="F114" s="10">
        <f>'Model inputs'!F29*'Model inputs'!O218</f>
        <v>332.3885344</v>
      </c>
      <c r="G114" s="10">
        <f>'Model inputs'!G29*'Model inputs'!O218</f>
        <v>341.44522233600003</v>
      </c>
      <c r="H114" s="10">
        <f>'Model inputs'!H29*'Model inputs'!O218</f>
        <v>349.95850899584</v>
      </c>
    </row>
    <row r="115" outlineLevel="1">
      <c r="A115" t="inlineStr" s="19">
        <is>
          <t xml:space="preserve">Subscription revenue (USD) &gt; Household</t>
        </is>
      </c>
      <c r="B115" s="10">
        <f>'Model inputs'!B121</f>
        <v>0</v>
      </c>
      <c r="C115" s="10">
        <f>'Model inputs'!C30*'Model inputs'!O219</f>
        <v>293.58</v>
      </c>
      <c r="D115" s="10">
        <f>'Model inputs'!D30*'Model inputs'!O219</f>
        <v>305.463</v>
      </c>
      <c r="E115" s="10">
        <f>'Model inputs'!E30*'Model inputs'!O219</f>
        <v>315.56355</v>
      </c>
      <c r="F115" s="10">
        <f>'Model inputs'!F30*'Model inputs'!O219</f>
        <v>324.14901750000007</v>
      </c>
      <c r="G115" s="10">
        <f>'Model inputs'!G30*'Model inputs'!O219</f>
        <v>331.44666487500007</v>
      </c>
      <c r="H115" s="10">
        <f>'Model inputs'!H30*'Model inputs'!O219</f>
        <v>337.64966514375004</v>
      </c>
    </row>
    <row r="116">
      <c r="A116" t="inlineStr" s="18">
        <is>
          <t xml:space="preserve">Subscription revenue (USD)</t>
        </is>
      </c>
      <c r="B116" s="9">
        <f>SUM('Model inputs'!B117,'Model inputs'!B118)</f>
        <v>0</v>
      </c>
      <c r="C116" s="9">
        <f>SUM('Model inputs'!C117,'Model inputs'!C118)</f>
        <v>737.372</v>
      </c>
      <c r="D116" s="9">
        <f>SUM('Model inputs'!D117,'Model inputs'!D118)</f>
        <v>895.63724</v>
      </c>
      <c r="E116" s="9">
        <f>SUM('Model inputs'!E117,'Model inputs'!E118)</f>
        <v>1045.0388108</v>
      </c>
      <c r="F116" s="9">
        <f>SUM('Model inputs'!F117,'Model inputs'!F118)</f>
        <v>1186.171879436</v>
      </c>
      <c r="G116" s="9">
        <f>SUM('Model inputs'!G117,'Model inputs'!G118)</f>
        <v>1319.58741737612</v>
      </c>
      <c r="H116" s="9">
        <f>SUM('Model inputs'!H117,'Model inputs'!H118)</f>
        <v>1445.7956336321804</v>
      </c>
    </row>
    <row r="117" outlineLevel="1">
      <c r="A117" t="inlineStr" s="19">
        <is>
          <t xml:space="preserve">Subscription revenue (USD) &gt; Classroom</t>
        </is>
      </c>
      <c r="B117" s="10">
        <f>'Model inputs'!B120</f>
        <v>0</v>
      </c>
      <c r="C117" s="10">
        <f>'Model inputs'!C32*'Model inputs'!O221</f>
        <v>368.29999999999995</v>
      </c>
      <c r="D117" s="10">
        <f>'Model inputs'!D32*'Model inputs'!O221</f>
        <v>444.251</v>
      </c>
      <c r="E117" s="10">
        <f>'Model inputs'!E32*'Model inputs'!O221</f>
        <v>517.92347</v>
      </c>
      <c r="F117" s="10">
        <f>'Model inputs'!F32*'Model inputs'!O221</f>
        <v>589.3857658999999</v>
      </c>
      <c r="G117" s="10">
        <f>'Model inputs'!G32*'Model inputs'!O221</f>
        <v>658.7041929229999</v>
      </c>
      <c r="H117" s="10">
        <f>'Model inputs'!H32*'Model inputs'!O221</f>
        <v>725.94306713531</v>
      </c>
    </row>
    <row r="118" outlineLevel="1">
      <c r="A118" t="inlineStr" s="19">
        <is>
          <t xml:space="preserve">Subscription revenue (USD) &gt; Household</t>
        </is>
      </c>
      <c r="B118" s="10">
        <f>'Model inputs'!B121</f>
        <v>0</v>
      </c>
      <c r="C118" s="10">
        <f>'Model inputs'!C33*'Model inputs'!O222</f>
        <v>369.072</v>
      </c>
      <c r="D118" s="10">
        <f>'Model inputs'!D33*'Model inputs'!O222</f>
        <v>451.38624</v>
      </c>
      <c r="E118" s="10">
        <f>'Model inputs'!E33*'Model inputs'!O222</f>
        <v>527.1153408</v>
      </c>
      <c r="F118" s="10">
        <f>'Model inputs'!F33*'Model inputs'!O222</f>
        <v>596.786113536</v>
      </c>
      <c r="G118" s="10">
        <f>'Model inputs'!G33*'Model inputs'!O222</f>
        <v>660.88322445312</v>
      </c>
      <c r="H118" s="10">
        <f>'Model inputs'!H33*'Model inputs'!O222</f>
        <v>719.8525664968704</v>
      </c>
    </row>
    <row r="119">
      <c r="A119" t="inlineStr" s="18">
        <is>
          <t xml:space="preserve">Subscription revenue (USD)</t>
        </is>
      </c>
      <c r="B119" s="9">
        <f>SUM('Model inputs'!B120,'Model inputs'!B121)</f>
        <v>0</v>
      </c>
      <c r="C119" s="9">
        <f>SUM('Model inputs'!C120,'Model inputs'!C121)</f>
        <v>623.452</v>
      </c>
      <c r="D119" s="9">
        <f>SUM('Model inputs'!D120,'Model inputs'!D121)</f>
        <v>674.0108399999999</v>
      </c>
      <c r="E119" s="9">
        <f>SUM('Model inputs'!E120,'Model inputs'!E121)</f>
        <v>721.5095228</v>
      </c>
      <c r="F119" s="9">
        <f>SUM('Model inputs'!F120,'Model inputs'!F121)</f>
        <v>766.163324476</v>
      </c>
      <c r="G119" s="9">
        <f>SUM('Model inputs'!G120,'Model inputs'!G121)</f>
        <v>808.17118511292</v>
      </c>
      <c r="H119" s="9">
        <f>SUM('Model inputs'!H120,'Model inputs'!H121)</f>
        <v>847.7169891010365</v>
      </c>
    </row>
    <row r="120" outlineLevel="1">
      <c r="A120" t="inlineStr" s="19">
        <is>
          <t xml:space="preserve">Subscription revenue (USD) &gt; Classroom</t>
        </is>
      </c>
      <c r="B120" s="10">
        <f>0</f>
        <v>0</v>
      </c>
      <c r="C120" s="10">
        <f>'Model inputs'!C23*'Model inputs'!O104</f>
        <v>310.29999999999995</v>
      </c>
      <c r="D120" s="10">
        <f>'Model inputs'!D23*'Model inputs'!O104</f>
        <v>329.991</v>
      </c>
      <c r="E120" s="10">
        <f>'Model inputs'!E23*'Model inputs'!O104</f>
        <v>349.09127</v>
      </c>
      <c r="F120" s="10">
        <f>'Model inputs'!F23*'Model inputs'!O104</f>
        <v>367.6185319</v>
      </c>
      <c r="G120" s="10">
        <f>'Model inputs'!G23*'Model inputs'!O104</f>
        <v>385.589975943</v>
      </c>
      <c r="H120" s="10">
        <f>'Model inputs'!H23*'Model inputs'!O104</f>
        <v>403.02227666471003</v>
      </c>
    </row>
    <row r="121" outlineLevel="1">
      <c r="A121" t="inlineStr" s="19">
        <is>
          <t xml:space="preserve">Subscription revenue (USD) &gt; Household</t>
        </is>
      </c>
      <c r="B121" s="10">
        <f>0</f>
        <v>0</v>
      </c>
      <c r="C121" s="10">
        <f>'Model inputs'!C24*'Model inputs'!O105</f>
        <v>313.152</v>
      </c>
      <c r="D121" s="10">
        <f>'Model inputs'!D24*'Model inputs'!O105</f>
        <v>344.01984</v>
      </c>
      <c r="E121" s="10">
        <f>'Model inputs'!E24*'Model inputs'!O105</f>
        <v>372.41825279999995</v>
      </c>
      <c r="F121" s="10">
        <f>'Model inputs'!F24*'Model inputs'!O105</f>
        <v>398.54479257599996</v>
      </c>
      <c r="G121" s="10">
        <f>'Model inputs'!G24*'Model inputs'!O105</f>
        <v>422.58120916992</v>
      </c>
      <c r="H121" s="10">
        <f>'Model inputs'!H24*'Model inputs'!O105</f>
        <v>444.69471243632637</v>
      </c>
    </row>
    <row r="122">
      <c r="A122" t="inlineStr" s="18">
        <is>
          <t xml:space="preserve">Subscription revenue (USD)</t>
        </is>
      </c>
      <c r="B122" s="9">
        <f>IF('Model inputs'!B119="","",'Model inputs'!B119)</f>
        <v>0</v>
      </c>
      <c r="C122" s="9">
        <f>IF('Model inputs'!C119="","",'Model inputs'!C119)</f>
        <v>623.452</v>
      </c>
      <c r="D122" s="9">
        <f>IF('Model inputs'!D119="","",'Model inputs'!D119)</f>
        <v>674.0108399999999</v>
      </c>
      <c r="E122" s="9">
        <f>IF('Model inputs'!E119="","",'Model inputs'!E119)</f>
        <v>721.5095228</v>
      </c>
      <c r="F122" s="9">
        <f>IF('Model inputs'!F119="","",'Model inputs'!F119)</f>
        <v>766.163324476</v>
      </c>
      <c r="G122" s="9">
        <f>IF('Model inputs'!G119="","",'Model inputs'!G119)</f>
        <v>808.17118511292</v>
      </c>
      <c r="H122" s="9">
        <f>IF('Model inputs'!H119="","",'Model inputs'!H119)</f>
        <v>847.7169891010365</v>
      </c>
      <c r="I122" s="9">
        <f>SUM('Model inputs'!I123,'Model inputs'!I124)</f>
        <v>884.9707438061889</v>
      </c>
      <c r="J122" s="9">
        <f>SUM('Model inputs'!J123,'Model inputs'!J124)</f>
        <v>920.0896647199322</v>
      </c>
      <c r="K122" s="9">
        <f>SUM('Model inputs'!K123,'Model inputs'!K124)</f>
        <v>953.2191745480288</v>
      </c>
      <c r="L122" s="9">
        <f>SUM('Model inputs'!L123,'Model inputs'!L124)</f>
        <v>984.493823099707</v>
      </c>
      <c r="M122" s="9">
        <f>SUM('Model inputs'!M123,'Model inputs'!M124)</f>
        <v>1014.0381342917855</v>
      </c>
      <c r="N122" s="9">
        <f>SUM('Model inputs'!N123,'Model inputs'!N124)</f>
        <v>1041.967386077296</v>
      </c>
    </row>
    <row r="123" outlineLevel="1">
      <c r="A123" t="inlineStr" s="19">
        <is>
          <t xml:space="preserve">Subscription revenue (USD) &gt; Classroom</t>
        </is>
      </c>
      <c r="B123" s="10">
        <f>IF('Model inputs'!B120="","",'Model inputs'!B120)</f>
        <v>0</v>
      </c>
      <c r="C123" s="10">
        <f>IF('Model inputs'!C120="","",'Model inputs'!C120)</f>
        <v>310.29999999999995</v>
      </c>
      <c r="D123" s="10">
        <f>IF('Model inputs'!D120="","",'Model inputs'!D120)</f>
        <v>329.991</v>
      </c>
      <c r="E123" s="10">
        <f>IF('Model inputs'!E120="","",'Model inputs'!E120)</f>
        <v>349.09127</v>
      </c>
      <c r="F123" s="10">
        <f>IF('Model inputs'!F120="","",'Model inputs'!F120)</f>
        <v>367.6185319</v>
      </c>
      <c r="G123" s="10">
        <f>IF('Model inputs'!G120="","",'Model inputs'!G120)</f>
        <v>385.589975943</v>
      </c>
      <c r="H123" s="10">
        <f>IF('Model inputs'!H120="","",'Model inputs'!H120)</f>
        <v>403.02227666471003</v>
      </c>
      <c r="I123" s="10">
        <f>'Model inputs'!I26*'Model inputs'!O104</f>
        <v>419.9316083647687</v>
      </c>
      <c r="J123" s="10">
        <f>'Model inputs'!J26*'Model inputs'!O104</f>
        <v>436.33366011382566</v>
      </c>
      <c r="K123" s="10">
        <f>'Model inputs'!K26*'Model inputs'!O104</f>
        <v>452.2436503104108</v>
      </c>
      <c r="L123" s="10">
        <f>'Model inputs'!L26*'Model inputs'!O104</f>
        <v>467.67634080109855</v>
      </c>
      <c r="M123" s="10">
        <f>'Model inputs'!M26*'Model inputs'!O104</f>
        <v>482.6460505770656</v>
      </c>
      <c r="N123" s="10">
        <f>'Model inputs'!N26*'Model inputs'!O104</f>
        <v>497.16666905975364</v>
      </c>
    </row>
    <row r="124" outlineLevel="1">
      <c r="A124" t="inlineStr" s="19">
        <is>
          <t xml:space="preserve">Subscription revenue (USD) &gt; Household</t>
        </is>
      </c>
      <c r="B124" s="10">
        <f>IF('Model inputs'!B121="","",'Model inputs'!B121)</f>
        <v>0</v>
      </c>
      <c r="C124" s="10">
        <f>IF('Model inputs'!C121="","",'Model inputs'!C121)</f>
        <v>313.152</v>
      </c>
      <c r="D124" s="10">
        <f>IF('Model inputs'!D121="","",'Model inputs'!D121)</f>
        <v>344.01984</v>
      </c>
      <c r="E124" s="10">
        <f>IF('Model inputs'!E121="","",'Model inputs'!E121)</f>
        <v>372.41825279999995</v>
      </c>
      <c r="F124" s="10">
        <f>IF('Model inputs'!F121="","",'Model inputs'!F121)</f>
        <v>398.54479257599996</v>
      </c>
      <c r="G124" s="10">
        <f>IF('Model inputs'!G121="","",'Model inputs'!G121)</f>
        <v>422.58120916992</v>
      </c>
      <c r="H124" s="10">
        <f>IF('Model inputs'!H121="","",'Model inputs'!H121)</f>
        <v>444.69471243632637</v>
      </c>
      <c r="I124" s="10">
        <f>'Model inputs'!I27*'Model inputs'!O105</f>
        <v>465.0391354414202</v>
      </c>
      <c r="J124" s="10">
        <f>'Model inputs'!J27*'Model inputs'!O105</f>
        <v>483.75600460610656</v>
      </c>
      <c r="K124" s="10">
        <f>'Model inputs'!K27*'Model inputs'!O105</f>
        <v>500.97552423761806</v>
      </c>
      <c r="L124" s="10">
        <f>'Model inputs'!L27*'Model inputs'!O105</f>
        <v>516.8174822986085</v>
      </c>
      <c r="M124" s="10">
        <f>'Model inputs'!M27*'Model inputs'!O105</f>
        <v>531.3920837147199</v>
      </c>
      <c r="N124" s="10">
        <f>'Model inputs'!N27*'Model inputs'!O105</f>
        <v>544.8007170175423</v>
      </c>
    </row>
    <row r="125">
      <c r="A125" t="inlineStr" s="18">
        <is>
          <t xml:space="preserve">Revenue (USD)</t>
        </is>
      </c>
      <c r="B125" s="9">
        <f>SUM('Model inputs'!B126,'Model inputs'!B127)</f>
        <v>0</v>
      </c>
      <c r="C125" s="9">
        <f>SUM('Model inputs'!C126,'Model inputs'!C127)</f>
        <v>623.452</v>
      </c>
      <c r="D125" s="9">
        <f>SUM('Model inputs'!D126,'Model inputs'!D127)</f>
        <v>674.0108399999999</v>
      </c>
      <c r="E125" s="9">
        <f>SUM('Model inputs'!E126,'Model inputs'!E127)</f>
        <v>721.5095228</v>
      </c>
      <c r="F125" s="9">
        <f>SUM('Model inputs'!F126,'Model inputs'!F127)</f>
        <v>766.163324476</v>
      </c>
      <c r="G125" s="9">
        <f>SUM('Model inputs'!G126,'Model inputs'!G127)</f>
        <v>808.17118511292</v>
      </c>
      <c r="H125" s="9">
        <f>SUM('Model inputs'!H126,'Model inputs'!H127)</f>
        <v>847.7169891010365</v>
      </c>
    </row>
    <row r="126" outlineLevel="1">
      <c r="A126" t="inlineStr" s="19">
        <is>
          <t xml:space="preserve">Revenue (USD) &gt; Classroom</t>
        </is>
      </c>
      <c r="B126" s="10">
        <f>0</f>
        <v>0</v>
      </c>
      <c r="C126" s="10">
        <f>'Model inputs'!C120+'Model inputs'!C98</f>
        <v>310.29999999999995</v>
      </c>
      <c r="D126" s="10">
        <f>'Model inputs'!D120+'Model inputs'!D98</f>
        <v>329.991</v>
      </c>
      <c r="E126" s="10">
        <f>'Model inputs'!E120+'Model inputs'!E98</f>
        <v>349.09127</v>
      </c>
      <c r="F126" s="10">
        <f>'Model inputs'!F120+'Model inputs'!F98</f>
        <v>367.6185319</v>
      </c>
      <c r="G126" s="10">
        <f>'Model inputs'!G120+'Model inputs'!G98</f>
        <v>385.589975943</v>
      </c>
      <c r="H126" s="10">
        <f>'Model inputs'!H120+'Model inputs'!H98</f>
        <v>403.02227666471003</v>
      </c>
    </row>
    <row r="127" outlineLevel="1">
      <c r="A127" t="inlineStr" s="19">
        <is>
          <t xml:space="preserve">Revenue (USD) &gt; Household</t>
        </is>
      </c>
      <c r="B127" s="10">
        <f>0</f>
        <v>0</v>
      </c>
      <c r="C127" s="10">
        <f>'Model inputs'!C121+'Model inputs'!C99</f>
        <v>313.152</v>
      </c>
      <c r="D127" s="10">
        <f>'Model inputs'!D121+'Model inputs'!D99</f>
        <v>344.01984</v>
      </c>
      <c r="E127" s="10">
        <f>'Model inputs'!E121+'Model inputs'!E99</f>
        <v>372.41825279999995</v>
      </c>
      <c r="F127" s="10">
        <f>'Model inputs'!F121+'Model inputs'!F99</f>
        <v>398.54479257599996</v>
      </c>
      <c r="G127" s="10">
        <f>'Model inputs'!G121+'Model inputs'!G99</f>
        <v>422.58120916992</v>
      </c>
      <c r="H127" s="10">
        <f>'Model inputs'!H121+'Model inputs'!H99</f>
        <v>444.69471243632637</v>
      </c>
    </row>
    <row r="128">
      <c r="A128" t="inlineStr" s="18">
        <is>
          <t xml:space="preserve">Revenue (USD)</t>
        </is>
      </c>
      <c r="B128" s="9">
        <f>IF('Model inputs'!B125="","",'Model inputs'!B125)</f>
        <v>0</v>
      </c>
      <c r="C128" s="9">
        <f>IF('Model inputs'!C125="","",'Model inputs'!C125)</f>
        <v>623.452</v>
      </c>
      <c r="D128" s="9">
        <f>IF('Model inputs'!D125="","",'Model inputs'!D125)</f>
        <v>674.0108399999999</v>
      </c>
      <c r="E128" s="9">
        <f>IF('Model inputs'!E125="","",'Model inputs'!E125)</f>
        <v>721.5095228</v>
      </c>
      <c r="F128" s="9">
        <f>IF('Model inputs'!F125="","",'Model inputs'!F125)</f>
        <v>766.163324476</v>
      </c>
      <c r="G128" s="9">
        <f>IF('Model inputs'!G125="","",'Model inputs'!G125)</f>
        <v>808.17118511292</v>
      </c>
      <c r="H128" s="9">
        <f>IF('Model inputs'!H125="","",'Model inputs'!H125)</f>
        <v>847.7169891010365</v>
      </c>
      <c r="I128" s="9">
        <f>SUM('Model inputs'!I129,'Model inputs'!I130)</f>
        <v>884.9707438061889</v>
      </c>
      <c r="J128" s="9">
        <f>SUM('Model inputs'!J129,'Model inputs'!J130)</f>
        <v>920.0896647199322</v>
      </c>
      <c r="K128" s="9">
        <f>SUM('Model inputs'!K129,'Model inputs'!K130)</f>
        <v>953.2191745480288</v>
      </c>
      <c r="L128" s="9">
        <f>SUM('Model inputs'!L129,'Model inputs'!L130)</f>
        <v>984.493823099707</v>
      </c>
      <c r="M128" s="9">
        <f>SUM('Model inputs'!M129,'Model inputs'!M130)</f>
        <v>1014.0381342917855</v>
      </c>
      <c r="N128" s="9">
        <f>SUM('Model inputs'!N129,'Model inputs'!N130)</f>
        <v>1041.967386077296</v>
      </c>
    </row>
    <row r="129" outlineLevel="1">
      <c r="A129" t="inlineStr" s="19">
        <is>
          <t xml:space="preserve">Revenue (USD) &gt; Classroom</t>
        </is>
      </c>
      <c r="B129" s="10">
        <f>IF('Model inputs'!B126="","",'Model inputs'!B126)</f>
        <v>0</v>
      </c>
      <c r="C129" s="10">
        <f>IF('Model inputs'!C126="","",'Model inputs'!C126)</f>
        <v>310.29999999999995</v>
      </c>
      <c r="D129" s="10">
        <f>IF('Model inputs'!D126="","",'Model inputs'!D126)</f>
        <v>329.991</v>
      </c>
      <c r="E129" s="10">
        <f>IF('Model inputs'!E126="","",'Model inputs'!E126)</f>
        <v>349.09127</v>
      </c>
      <c r="F129" s="10">
        <f>IF('Model inputs'!F126="","",'Model inputs'!F126)</f>
        <v>367.6185319</v>
      </c>
      <c r="G129" s="10">
        <f>IF('Model inputs'!G126="","",'Model inputs'!G126)</f>
        <v>385.589975943</v>
      </c>
      <c r="H129" s="10">
        <f>IF('Model inputs'!H126="","",'Model inputs'!H126)</f>
        <v>403.02227666471003</v>
      </c>
      <c r="I129" s="10">
        <f>'Model inputs'!I123+'Model inputs'!I101</f>
        <v>419.9316083647687</v>
      </c>
      <c r="J129" s="10">
        <f>'Model inputs'!J123+'Model inputs'!J101</f>
        <v>436.33366011382566</v>
      </c>
      <c r="K129" s="10">
        <f>'Model inputs'!K123+'Model inputs'!K101</f>
        <v>452.2436503104108</v>
      </c>
      <c r="L129" s="10">
        <f>'Model inputs'!L123+'Model inputs'!L101</f>
        <v>467.67634080109855</v>
      </c>
      <c r="M129" s="10">
        <f>'Model inputs'!M123+'Model inputs'!M101</f>
        <v>482.6460505770656</v>
      </c>
      <c r="N129" s="10">
        <f>'Model inputs'!N123+'Model inputs'!N101</f>
        <v>497.16666905975364</v>
      </c>
    </row>
    <row r="130" outlineLevel="1">
      <c r="A130" t="inlineStr" s="19">
        <is>
          <t xml:space="preserve">Revenue (USD) &gt; Household</t>
        </is>
      </c>
      <c r="B130" s="10">
        <f>IF('Model inputs'!B127="","",'Model inputs'!B127)</f>
        <v>0</v>
      </c>
      <c r="C130" s="10">
        <f>IF('Model inputs'!C127="","",'Model inputs'!C127)</f>
        <v>313.152</v>
      </c>
      <c r="D130" s="10">
        <f>IF('Model inputs'!D127="","",'Model inputs'!D127)</f>
        <v>344.01984</v>
      </c>
      <c r="E130" s="10">
        <f>IF('Model inputs'!E127="","",'Model inputs'!E127)</f>
        <v>372.41825279999995</v>
      </c>
      <c r="F130" s="10">
        <f>IF('Model inputs'!F127="","",'Model inputs'!F127)</f>
        <v>398.54479257599996</v>
      </c>
      <c r="G130" s="10">
        <f>IF('Model inputs'!G127="","",'Model inputs'!G127)</f>
        <v>422.58120916992</v>
      </c>
      <c r="H130" s="10">
        <f>IF('Model inputs'!H127="","",'Model inputs'!H127)</f>
        <v>444.69471243632637</v>
      </c>
      <c r="I130" s="10">
        <f>'Model inputs'!I124+'Model inputs'!I102</f>
        <v>465.0391354414202</v>
      </c>
      <c r="J130" s="10">
        <f>'Model inputs'!J124+'Model inputs'!J102</f>
        <v>483.75600460610656</v>
      </c>
      <c r="K130" s="10">
        <f>'Model inputs'!K124+'Model inputs'!K102</f>
        <v>500.97552423761806</v>
      </c>
      <c r="L130" s="10">
        <f>'Model inputs'!L124+'Model inputs'!L102</f>
        <v>516.8174822986085</v>
      </c>
      <c r="M130" s="10">
        <f>'Model inputs'!M124+'Model inputs'!M102</f>
        <v>531.3920837147199</v>
      </c>
      <c r="N130" s="10">
        <f>'Model inputs'!N124+'Model inputs'!N102</f>
        <v>544.8007170175423</v>
      </c>
    </row>
    <row r="131">
      <c r="A131" t="inlineStr" s="18">
        <is>
          <t xml:space="preserve">Revenue (USD)</t>
        </is>
      </c>
      <c r="B131" s="9">
        <f>SUM('Model inputs'!B132,'Model inputs'!B133)</f>
        <v>0</v>
      </c>
      <c r="C131" s="9">
        <f>SUM('Model inputs'!C132,'Model inputs'!C133)</f>
        <v>595.1800000000001</v>
      </c>
      <c r="D131" s="9">
        <f>SUM('Model inputs'!D132,'Model inputs'!D133)</f>
        <v>617.9670000000001</v>
      </c>
      <c r="E131" s="9">
        <f>SUM('Model inputs'!E132,'Model inputs'!E133)</f>
        <v>638.31731</v>
      </c>
      <c r="F131" s="9">
        <f>SUM('Model inputs'!F132,'Model inputs'!F133)</f>
        <v>656.5375519000002</v>
      </c>
      <c r="G131" s="9">
        <f>SUM('Model inputs'!G132,'Model inputs'!G133)</f>
        <v>672.891887211</v>
      </c>
      <c r="H131" s="9">
        <f>SUM('Model inputs'!H132,'Model inputs'!H133)</f>
        <v>687.6081741395901</v>
      </c>
    </row>
    <row r="132" outlineLevel="1">
      <c r="A132" t="inlineStr" s="19">
        <is>
          <t xml:space="preserve">Revenue (USD) &gt; Classroom</t>
        </is>
      </c>
      <c r="B132" s="10">
        <f>'Model inputs'!B126</f>
        <v>0</v>
      </c>
      <c r="C132" s="10">
        <f>'Model inputs'!C114+'Model inputs'!C92</f>
        <v>301.6</v>
      </c>
      <c r="D132" s="10">
        <f>'Model inputs'!D114+'Model inputs'!D92</f>
        <v>312.504</v>
      </c>
      <c r="E132" s="10">
        <f>'Model inputs'!E114+'Model inputs'!E92</f>
        <v>322.75376</v>
      </c>
      <c r="F132" s="10">
        <f>'Model inputs'!F114+'Model inputs'!F92</f>
        <v>332.3885344</v>
      </c>
      <c r="G132" s="10">
        <f>'Model inputs'!G114+'Model inputs'!G92</f>
        <v>341.44522233600003</v>
      </c>
      <c r="H132" s="10">
        <f>'Model inputs'!H114+'Model inputs'!H92</f>
        <v>349.95850899584</v>
      </c>
    </row>
    <row r="133" outlineLevel="1">
      <c r="A133" t="inlineStr" s="19">
        <is>
          <t xml:space="preserve">Revenue (USD) &gt; Household</t>
        </is>
      </c>
      <c r="B133" s="10">
        <f>'Model inputs'!B127</f>
        <v>0</v>
      </c>
      <c r="C133" s="10">
        <f>'Model inputs'!C115+'Model inputs'!C93</f>
        <v>293.58</v>
      </c>
      <c r="D133" s="10">
        <f>'Model inputs'!D115+'Model inputs'!D93</f>
        <v>305.463</v>
      </c>
      <c r="E133" s="10">
        <f>'Model inputs'!E115+'Model inputs'!E93</f>
        <v>315.56355</v>
      </c>
      <c r="F133" s="10">
        <f>'Model inputs'!F115+'Model inputs'!F93</f>
        <v>324.14901750000007</v>
      </c>
      <c r="G133" s="10">
        <f>'Model inputs'!G115+'Model inputs'!G93</f>
        <v>331.44666487500007</v>
      </c>
      <c r="H133" s="10">
        <f>'Model inputs'!H115+'Model inputs'!H93</f>
        <v>337.64966514375004</v>
      </c>
    </row>
    <row r="134">
      <c r="A134" t="inlineStr" s="18">
        <is>
          <t xml:space="preserve">Revenue (USD)</t>
        </is>
      </c>
      <c r="B134" s="9">
        <f>SUM('Model inputs'!B135,'Model inputs'!B136)</f>
        <v>0</v>
      </c>
      <c r="C134" s="9">
        <f>SUM('Model inputs'!C135,'Model inputs'!C136)</f>
        <v>737.372</v>
      </c>
      <c r="D134" s="9">
        <f>SUM('Model inputs'!D135,'Model inputs'!D136)</f>
        <v>895.63724</v>
      </c>
      <c r="E134" s="9">
        <f>SUM('Model inputs'!E135,'Model inputs'!E136)</f>
        <v>1045.0388108</v>
      </c>
      <c r="F134" s="9">
        <f>SUM('Model inputs'!F135,'Model inputs'!F136)</f>
        <v>1186.171879436</v>
      </c>
      <c r="G134" s="9">
        <f>SUM('Model inputs'!G135,'Model inputs'!G136)</f>
        <v>1319.58741737612</v>
      </c>
      <c r="H134" s="9">
        <f>SUM('Model inputs'!H135,'Model inputs'!H136)</f>
        <v>1445.7956336321804</v>
      </c>
    </row>
    <row r="135" outlineLevel="1">
      <c r="A135" t="inlineStr" s="19">
        <is>
          <t xml:space="preserve">Revenue (USD) &gt; Classroom</t>
        </is>
      </c>
      <c r="B135" s="10">
        <f>'Model inputs'!B126</f>
        <v>0</v>
      </c>
      <c r="C135" s="10">
        <f>'Model inputs'!C117+'Model inputs'!C95</f>
        <v>368.29999999999995</v>
      </c>
      <c r="D135" s="10">
        <f>'Model inputs'!D117+'Model inputs'!D95</f>
        <v>444.251</v>
      </c>
      <c r="E135" s="10">
        <f>'Model inputs'!E117+'Model inputs'!E95</f>
        <v>517.92347</v>
      </c>
      <c r="F135" s="10">
        <f>'Model inputs'!F117+'Model inputs'!F95</f>
        <v>589.3857658999999</v>
      </c>
      <c r="G135" s="10">
        <f>'Model inputs'!G117+'Model inputs'!G95</f>
        <v>658.7041929229999</v>
      </c>
      <c r="H135" s="10">
        <f>'Model inputs'!H117+'Model inputs'!H95</f>
        <v>725.94306713531</v>
      </c>
    </row>
    <row r="136" outlineLevel="1">
      <c r="A136" t="inlineStr" s="19">
        <is>
          <t xml:space="preserve">Revenue (USD) &gt; Household</t>
        </is>
      </c>
      <c r="B136" s="10">
        <f>'Model inputs'!B127</f>
        <v>0</v>
      </c>
      <c r="C136" s="10">
        <f>'Model inputs'!C118+'Model inputs'!C96</f>
        <v>369.072</v>
      </c>
      <c r="D136" s="10">
        <f>'Model inputs'!D118+'Model inputs'!D96</f>
        <v>451.38624</v>
      </c>
      <c r="E136" s="10">
        <f>'Model inputs'!E118+'Model inputs'!E96</f>
        <v>527.1153408</v>
      </c>
      <c r="F136" s="10">
        <f>'Model inputs'!F118+'Model inputs'!F96</f>
        <v>596.786113536</v>
      </c>
      <c r="G136" s="10">
        <f>'Model inputs'!G118+'Model inputs'!G96</f>
        <v>660.88322445312</v>
      </c>
      <c r="H136" s="10">
        <f>'Model inputs'!H118+'Model inputs'!H96</f>
        <v>719.8525664968704</v>
      </c>
    </row>
    <row r="137">
      <c r="A137" t="inlineStr" s="18">
        <is>
          <t xml:space="preserve">Gross profit (USD)</t>
        </is>
      </c>
      <c r="C137" s="9">
        <f>SUM('Model inputs'!C138,'Model inputs'!C139)</f>
        <v>409.494696</v>
      </c>
      <c r="D137" s="9">
        <f>SUM('Model inputs'!D138,'Model inputs'!D139)</f>
        <v>445.84389032</v>
      </c>
      <c r="E137" s="9">
        <f>SUM('Model inputs'!E138,'Model inputs'!E139)</f>
        <v>479.87065079440004</v>
      </c>
      <c r="F137" s="9">
        <f>SUM('Model inputs'!F138,'Model inputs'!F139)</f>
        <v>511.743207079848</v>
      </c>
      <c r="G137" s="9">
        <f>SUM('Model inputs'!G138,'Model inputs'!G139)</f>
        <v>541.6168574119902</v>
      </c>
      <c r="H137" s="9">
        <f>SUM('Model inputs'!H138,'Model inputs'!H139)</f>
        <v>569.6349873106051</v>
      </c>
    </row>
    <row r="138" outlineLevel="1">
      <c r="A138" t="inlineStr" s="19">
        <is>
          <t xml:space="preserve">Gross profit (USD) &gt; Classroom</t>
        </is>
      </c>
      <c r="C138" s="10">
        <f>'Model inputs'!C126-'Model inputs'!C153</f>
        <v>172.08938162745483</v>
      </c>
      <c r="D138" s="10">
        <f>'Model inputs'!D126-'Model inputs'!D153</f>
        <v>184.00240859897232</v>
      </c>
      <c r="E138" s="10">
        <f>'Model inputs'!E126-'Model inputs'!E153</f>
        <v>195.5051020271279</v>
      </c>
      <c r="F138" s="10">
        <f>'Model inputs'!F126-'Model inputs'!F153</f>
        <v>206.62350174453735</v>
      </c>
      <c r="G138" s="10">
        <f>'Model inputs'!G126-'Model inputs'!G153</f>
        <v>217.37851398095688</v>
      </c>
      <c r="H138" s="10">
        <f>'Model inputs'!H126-'Model inputs'!H153</f>
        <v>227.7876591042103</v>
      </c>
    </row>
    <row r="139" outlineLevel="1">
      <c r="A139" t="inlineStr" s="19">
        <is>
          <t xml:space="preserve">Gross profit (USD) &gt; Household</t>
        </is>
      </c>
      <c r="C139" s="10">
        <f>'Model inputs'!C127-'Model inputs'!C154</f>
        <v>237.40531437254512</v>
      </c>
      <c r="D139" s="10">
        <f>'Model inputs'!D127-'Model inputs'!D154</f>
        <v>261.84148172102766</v>
      </c>
      <c r="E139" s="10">
        <f>'Model inputs'!E127-'Model inputs'!E154</f>
        <v>284.3655487672721</v>
      </c>
      <c r="F139" s="10">
        <f>'Model inputs'!F127-'Model inputs'!F154</f>
        <v>305.11970533531064</v>
      </c>
      <c r="G139" s="10">
        <f>'Model inputs'!G127-'Model inputs'!G154</f>
        <v>324.23834343103334</v>
      </c>
      <c r="H139" s="10">
        <f>'Model inputs'!H127-'Model inputs'!H154</f>
        <v>341.8473282063948</v>
      </c>
    </row>
    <row r="140">
      <c r="A140" t="inlineStr" s="18">
        <is>
          <t xml:space="preserve">Gross profit (USD)</t>
        </is>
      </c>
      <c r="C140" s="9">
        <f>IF('Model inputs'!C137="","",'Model inputs'!C137)</f>
        <v>409.494696</v>
      </c>
      <c r="D140" s="9">
        <f>IF('Model inputs'!D137="","",'Model inputs'!D137)</f>
        <v>445.84389032</v>
      </c>
      <c r="E140" s="9">
        <f>IF('Model inputs'!E137="","",'Model inputs'!E137)</f>
        <v>479.87065079440004</v>
      </c>
      <c r="F140" s="9">
        <f>IF('Model inputs'!F137="","",'Model inputs'!F137)</f>
        <v>511.743207079848</v>
      </c>
      <c r="G140" s="9">
        <f>IF('Model inputs'!G137="","",'Model inputs'!G137)</f>
        <v>541.6168574119902</v>
      </c>
      <c r="H140" s="9">
        <f>IF('Model inputs'!H137="","",'Model inputs'!H137)</f>
        <v>569.6349873106051</v>
      </c>
      <c r="I140" s="9">
        <f>SUM('Model inputs'!I141,'Model inputs'!I142)</f>
        <v>595.9300072625836</v>
      </c>
      <c r="J140" s="9">
        <f>SUM('Model inputs'!J141,'Model inputs'!J142)</f>
        <v>620.6242158502989</v>
      </c>
      <c r="K140" s="9">
        <f>SUM('Model inputs'!K141,'Model inputs'!K142)</f>
        <v>643.8305942759353</v>
      </c>
      <c r="L140" s="9">
        <f>SUM('Model inputs'!L141,'Model inputs'!L142)</f>
        <v>665.6535377567111</v>
      </c>
      <c r="M140" s="9">
        <f>SUM('Model inputs'!M141,'Model inputs'!M142)</f>
        <v>686.1895288283392</v>
      </c>
      <c r="N140" s="9">
        <f>SUM('Model inputs'!N141,'Model inputs'!N142)</f>
        <v>705.5277571914723</v>
      </c>
    </row>
    <row r="141" outlineLevel="1">
      <c r="A141" t="inlineStr" s="19">
        <is>
          <t xml:space="preserve">Gross profit (USD) &gt; Classroom</t>
        </is>
      </c>
      <c r="C141" s="10">
        <f>IF('Model inputs'!C138="","",'Model inputs'!C138)</f>
        <v>172.08938162745483</v>
      </c>
      <c r="D141" s="10">
        <f>IF('Model inputs'!D138="","",'Model inputs'!D138)</f>
        <v>184.00240859897232</v>
      </c>
      <c r="E141" s="10">
        <f>IF('Model inputs'!E138="","",'Model inputs'!E138)</f>
        <v>195.5051020271279</v>
      </c>
      <c r="F141" s="10">
        <f>IF('Model inputs'!F138="","",'Model inputs'!F138)</f>
        <v>206.62350174453735</v>
      </c>
      <c r="G141" s="10">
        <f>IF('Model inputs'!G138="","",'Model inputs'!G138)</f>
        <v>217.37851398095688</v>
      </c>
      <c r="H141" s="10">
        <f>IF('Model inputs'!H138="","",'Model inputs'!H138)</f>
        <v>227.7876591042103</v>
      </c>
      <c r="I141" s="10">
        <f>'Model inputs'!I129-'Model inputs'!I156</f>
        <v>237.86611640104644</v>
      </c>
      <c r="J141" s="10">
        <f>'Model inputs'!J129-'Model inputs'!J156</f>
        <v>247.62737641509204</v>
      </c>
      <c r="K141" s="10">
        <f>'Model inputs'!K129-'Model inputs'!K156</f>
        <v>257.08366385894396</v>
      </c>
      <c r="L141" s="10">
        <f>'Model inputs'!L129-'Model inputs'!L156</f>
        <v>266.2462210233209</v>
      </c>
      <c r="M141" s="10">
        <f>'Model inputs'!M129-'Model inputs'!M156</f>
        <v>275.12550342715895</v>
      </c>
      <c r="N141" s="10">
        <f>'Model inputs'!N129-'Model inputs'!N156</f>
        <v>283.73131859143916</v>
      </c>
    </row>
    <row r="142" outlineLevel="1">
      <c r="A142" t="inlineStr" s="19">
        <is>
          <t xml:space="preserve">Gross profit (USD) &gt; Household</t>
        </is>
      </c>
      <c r="C142" s="10">
        <f>IF('Model inputs'!C139="","",'Model inputs'!C139)</f>
        <v>237.40531437254512</v>
      </c>
      <c r="D142" s="10">
        <f>IF('Model inputs'!D139="","",'Model inputs'!D139)</f>
        <v>261.84148172102766</v>
      </c>
      <c r="E142" s="10">
        <f>IF('Model inputs'!E139="","",'Model inputs'!E139)</f>
        <v>284.3655487672721</v>
      </c>
      <c r="F142" s="10">
        <f>IF('Model inputs'!F139="","",'Model inputs'!F139)</f>
        <v>305.11970533531064</v>
      </c>
      <c r="G142" s="10">
        <f>IF('Model inputs'!G139="","",'Model inputs'!G139)</f>
        <v>324.23834343103334</v>
      </c>
      <c r="H142" s="10">
        <f>IF('Model inputs'!H139="","",'Model inputs'!H139)</f>
        <v>341.8473282063948</v>
      </c>
      <c r="I142" s="10">
        <f>'Model inputs'!I130-'Model inputs'!I157</f>
        <v>358.06389086153706</v>
      </c>
      <c r="J142" s="10">
        <f>'Model inputs'!J130-'Model inputs'!J157</f>
        <v>372.9968394352068</v>
      </c>
      <c r="K142" s="10">
        <f>'Model inputs'!K130-'Model inputs'!K157</f>
        <v>386.74693041699135</v>
      </c>
      <c r="L142" s="10">
        <f>'Model inputs'!L130-'Model inputs'!L157</f>
        <v>399.4073167333902</v>
      </c>
      <c r="M142" s="10">
        <f>'Model inputs'!M130-'Model inputs'!M157</f>
        <v>411.06402540118034</v>
      </c>
      <c r="N142" s="10">
        <f>'Model inputs'!N130-'Model inputs'!N157</f>
        <v>421.7964386000331</v>
      </c>
    </row>
    <row r="143">
      <c r="A143" t="inlineStr" s="18">
        <is>
          <t xml:space="preserve">Gross profit (USD)</t>
        </is>
      </c>
      <c r="H143" s="9">
        <f>SUM('Model inputs'!H144,'Model inputs'!H145)</f>
        <v>281.13827738137223</v>
      </c>
    </row>
    <row r="144" outlineLevel="1">
      <c r="A144" t="inlineStr" s="19">
        <is>
          <t xml:space="preserve">Gross profit (USD) &gt; Classroom</t>
        </is>
      </c>
      <c r="H144" s="10">
        <f>'Model inputs'!H132-'Model inputs'!H159</f>
        <v>79.54460907367132</v>
      </c>
    </row>
    <row r="145" outlineLevel="1">
      <c r="A145" t="inlineStr" s="19">
        <is>
          <t xml:space="preserve">Gross profit (USD) &gt; Household</t>
        </is>
      </c>
      <c r="H145" s="10">
        <f>'Model inputs'!H133-'Model inputs'!H160</f>
        <v>201.5936683077009</v>
      </c>
    </row>
    <row r="146">
      <c r="A146" t="inlineStr" s="18">
        <is>
          <t xml:space="preserve">Gross profit (USD)</t>
        </is>
      </c>
      <c r="H146" s="9">
        <f>SUM('Model inputs'!H147,'Model inputs'!H148)</f>
        <v>798.187664092641</v>
      </c>
    </row>
    <row r="147" outlineLevel="1">
      <c r="A147" t="inlineStr" s="19">
        <is>
          <t xml:space="preserve">Gross profit (USD) &gt; Classroom</t>
        </is>
      </c>
      <c r="H147" s="10">
        <f>'Model inputs'!H135-'Model inputs'!H162</f>
        <v>296.5614107439492</v>
      </c>
    </row>
    <row r="148" outlineLevel="1">
      <c r="A148" t="inlineStr" s="19">
        <is>
          <t xml:space="preserve">Gross profit (USD) &gt; Household</t>
        </is>
      </c>
      <c r="H148" s="10">
        <f>'Model inputs'!H136-'Model inputs'!H163</f>
        <v>501.62625334869176</v>
      </c>
    </row>
    <row r="149">
      <c r="A149" t="inlineStr" s="18">
        <is>
          <t xml:space="preserve">Stories delivered</t>
        </is>
      </c>
      <c r="C149" s="16">
        <f>SUM('Model inputs'!C150,'Model inputs'!C151)</f>
        <v>964.56</v>
      </c>
      <c r="D149" s="16">
        <f>SUM('Model inputs'!D150,'Model inputs'!D151)</f>
        <v>1037.0952</v>
      </c>
      <c r="E149" s="16">
        <f>SUM('Model inputs'!E150,'Model inputs'!E151)</f>
        <v>1105.864584</v>
      </c>
      <c r="F149" s="16">
        <f>SUM('Model inputs'!F150,'Model inputs'!F151)</f>
        <v>1171.10830728</v>
      </c>
      <c r="G149" s="16">
        <f>SUM('Model inputs'!G150,'Model inputs'!G151)</f>
        <v>1233.0491459976</v>
      </c>
      <c r="H149" s="16">
        <f>SUM('Model inputs'!H150,'Model inputs'!H151)</f>
        <v>1291.893832518792</v>
      </c>
      <c r="I149" s="16">
        <f>SUM('Model inputs'!I150,'Model inputs'!I151)</f>
        <v>1347.8342855722585</v>
      </c>
      <c r="J149" s="16">
        <f>SUM('Model inputs'!J150,'Model inputs'!J151)</f>
        <v>1401.0487435917987</v>
      </c>
      <c r="K149" s="16">
        <f>SUM('Model inputs'!K150,'Model inputs'!K151)</f>
        <v>1451.7028089438159</v>
      </c>
      <c r="L149" s="16">
        <f>SUM('Model inputs'!L150,'Model inputs'!L151)</f>
        <v>1499.9504101224911</v>
      </c>
      <c r="M149" s="16">
        <f>SUM('Model inputs'!M150,'Model inputs'!M151)</f>
        <v>1545.934688430047</v>
      </c>
      <c r="N149" s="16">
        <f>SUM('Model inputs'!N150,'Model inputs'!N151)</f>
        <v>1589.7888151394773</v>
      </c>
    </row>
    <row r="150" outlineLevel="1">
      <c r="A150" t="inlineStr" s="19">
        <is>
          <t xml:space="preserve">Stories delivered &gt; Classroom</t>
        </is>
      </c>
      <c r="C150" s="14">
        <f>'Model inputs'!C23*'Model inputs'!O111</f>
        <v>642</v>
      </c>
      <c r="D150" s="14">
        <f>'Model inputs'!D23*'Model inputs'!O111</f>
        <v>682.74</v>
      </c>
      <c r="E150" s="14">
        <f>'Model inputs'!E23*'Model inputs'!O111</f>
        <v>722.2578</v>
      </c>
      <c r="F150" s="14">
        <f>'Model inputs'!F23*'Model inputs'!O111</f>
        <v>760.590066</v>
      </c>
      <c r="G150" s="14">
        <f>'Model inputs'!G23*'Model inputs'!O111</f>
        <v>797.7723640199999</v>
      </c>
      <c r="H150" s="14">
        <f>'Model inputs'!H23*'Model inputs'!O111</f>
        <v>833.8391930994001</v>
      </c>
      <c r="I150" s="14">
        <f>'Model inputs'!I26*'Model inputs'!O111</f>
        <v>868.824017306418</v>
      </c>
      <c r="J150" s="14">
        <f>'Model inputs'!J26*'Model inputs'!O111</f>
        <v>902.7592967872255</v>
      </c>
      <c r="K150" s="14">
        <f>'Model inputs'!K26*'Model inputs'!O111</f>
        <v>935.6765178836087</v>
      </c>
      <c r="L150" s="14">
        <f>'Model inputs'!L26*'Model inputs'!O111</f>
        <v>967.6062223471004</v>
      </c>
      <c r="M150" s="14">
        <f>'Model inputs'!M26*'Model inputs'!O111</f>
        <v>998.5780356766874</v>
      </c>
      <c r="N150" s="14">
        <f>'Model inputs'!N26*'Model inputs'!O111</f>
        <v>1028.6206946063867</v>
      </c>
    </row>
    <row r="151" outlineLevel="1">
      <c r="A151" t="inlineStr" s="19">
        <is>
          <t xml:space="preserve">Stories delivered &gt; Household</t>
        </is>
      </c>
      <c r="C151" s="14">
        <f>'Model inputs'!C24*'Model inputs'!O112</f>
        <v>322.55999999999995</v>
      </c>
      <c r="D151" s="14">
        <f>'Model inputs'!D24*'Model inputs'!O112</f>
        <v>354.3551999999999</v>
      </c>
      <c r="E151" s="14">
        <f>'Model inputs'!E24*'Model inputs'!O112</f>
        <v>383.6067839999999</v>
      </c>
      <c r="F151" s="14">
        <f>'Model inputs'!F24*'Model inputs'!O112</f>
        <v>410.5182412799999</v>
      </c>
      <c r="G151" s="14">
        <f>'Model inputs'!G24*'Model inputs'!O112</f>
        <v>435.2767819775999</v>
      </c>
      <c r="H151" s="14">
        <f>'Model inputs'!H24*'Model inputs'!O112</f>
        <v>458.0546394193919</v>
      </c>
      <c r="I151" s="14">
        <f>'Model inputs'!I27*'Model inputs'!O112</f>
        <v>479.0102682658405</v>
      </c>
      <c r="J151" s="14">
        <f>'Model inputs'!J27*'Model inputs'!O112</f>
        <v>498.28944680457323</v>
      </c>
      <c r="K151" s="14">
        <f>'Model inputs'!K27*'Model inputs'!O112</f>
        <v>516.0262910602073</v>
      </c>
      <c r="L151" s="14">
        <f>'Model inputs'!L27*'Model inputs'!O112</f>
        <v>532.3441877753908</v>
      </c>
      <c r="M151" s="14">
        <f>'Model inputs'!M27*'Model inputs'!O112</f>
        <v>547.3566527533595</v>
      </c>
      <c r="N151" s="14">
        <f>'Model inputs'!N27*'Model inputs'!O112</f>
        <v>561.1681205330907</v>
      </c>
    </row>
    <row r="152">
      <c r="A152" t="inlineStr" s="18">
        <is>
          <t xml:space="preserve">Infra and inference (USD)</t>
        </is>
      </c>
      <c r="C152" s="9">
        <f>SUM('Model inputs'!C153,'Model inputs'!C154)</f>
        <v>213.957304</v>
      </c>
      <c r="D152" s="9">
        <f>SUM('Model inputs'!D153,'Model inputs'!D154)</f>
        <v>228.16694967999996</v>
      </c>
      <c r="E152" s="9">
        <f>SUM('Model inputs'!E153,'Model inputs'!E154)</f>
        <v>241.63887200559998</v>
      </c>
      <c r="F152" s="9">
        <f>SUM('Model inputs'!F153,'Model inputs'!F154)</f>
        <v>254.42011739615197</v>
      </c>
      <c r="G152" s="9">
        <f>SUM('Model inputs'!G153,'Model inputs'!G154)</f>
        <v>266.5543277009298</v>
      </c>
      <c r="H152" s="9">
        <f>SUM('Model inputs'!H153,'Model inputs'!H154)</f>
        <v>278.0820017904313</v>
      </c>
    </row>
    <row r="153" outlineLevel="1">
      <c r="A153" t="inlineStr" s="19">
        <is>
          <t xml:space="preserve">Infra and inference (USD) &gt; Classroom</t>
        </is>
      </c>
      <c r="C153" s="10">
        <f>'Model inputs'!C57+'Model inputs'!C44</f>
        <v>138.21061837254513</v>
      </c>
      <c r="D153" s="10">
        <f>'Model inputs'!D57+'Model inputs'!D44</f>
        <v>145.98859140102766</v>
      </c>
      <c r="E153" s="10">
        <f>'Model inputs'!E57+'Model inputs'!E44</f>
        <v>153.58616797287212</v>
      </c>
      <c r="F153" s="10">
        <f>'Model inputs'!F57+'Model inputs'!F44</f>
        <v>160.99503015546264</v>
      </c>
      <c r="G153" s="10">
        <f>'Model inputs'!G57+'Model inputs'!G44</f>
        <v>168.21146196204313</v>
      </c>
      <c r="H153" s="10">
        <f>'Model inputs'!H57+'Model inputs'!H44</f>
        <v>175.23461756049974</v>
      </c>
    </row>
    <row r="154" outlineLevel="1">
      <c r="A154" t="inlineStr" s="19">
        <is>
          <t xml:space="preserve">Infra and inference (USD) &gt; Household</t>
        </is>
      </c>
      <c r="C154" s="10">
        <f>'Model inputs'!C58+'Model inputs'!C45</f>
        <v>75.74668562745487</v>
      </c>
      <c r="D154" s="10">
        <f>'Model inputs'!D58+'Model inputs'!D45</f>
        <v>82.17835827897231</v>
      </c>
      <c r="E154" s="10">
        <f>'Model inputs'!E58+'Model inputs'!E45</f>
        <v>88.05270403272786</v>
      </c>
      <c r="F154" s="10">
        <f>'Model inputs'!F58+'Model inputs'!F45</f>
        <v>93.42508724068934</v>
      </c>
      <c r="G154" s="10">
        <f>'Model inputs'!G58+'Model inputs'!G45</f>
        <v>98.34286573888666</v>
      </c>
      <c r="H154" s="10">
        <f>'Model inputs'!H58+'Model inputs'!H45</f>
        <v>102.84738422993156</v>
      </c>
    </row>
    <row r="155">
      <c r="A155" t="inlineStr" s="18">
        <is>
          <t xml:space="preserve">Infra and inference (USD)</t>
        </is>
      </c>
      <c r="C155" s="9">
        <f>IF('Model inputs'!C152="","",'Model inputs'!C152)</f>
        <v>213.957304</v>
      </c>
      <c r="D155" s="9">
        <f>IF('Model inputs'!D152="","",'Model inputs'!D152)</f>
        <v>228.16694967999996</v>
      </c>
      <c r="E155" s="9">
        <f>IF('Model inputs'!E152="","",'Model inputs'!E152)</f>
        <v>241.63887200559998</v>
      </c>
      <c r="F155" s="9">
        <f>IF('Model inputs'!F152="","",'Model inputs'!F152)</f>
        <v>254.42011739615197</v>
      </c>
      <c r="G155" s="9">
        <f>IF('Model inputs'!G152="","",'Model inputs'!G152)</f>
        <v>266.5543277009298</v>
      </c>
      <c r="H155" s="9">
        <f>IF('Model inputs'!H152="","",'Model inputs'!H152)</f>
        <v>278.0820017904313</v>
      </c>
      <c r="I155" s="9">
        <f>SUM('Model inputs'!I156,'Model inputs'!I157)</f>
        <v>289.0407365436054</v>
      </c>
      <c r="J155" s="9">
        <f>SUM('Model inputs'!J156,'Model inputs'!J157)</f>
        <v>299.46544886963335</v>
      </c>
      <c r="K155" s="9">
        <f>SUM('Model inputs'!K156,'Model inputs'!K157)</f>
        <v>309.3885802720936</v>
      </c>
      <c r="L155" s="9">
        <f>SUM('Model inputs'!L156,'Model inputs'!L157)</f>
        <v>318.84028534299597</v>
      </c>
      <c r="M155" s="9">
        <f>SUM('Model inputs'!M156,'Model inputs'!M157)</f>
        <v>327.8486054634462</v>
      </c>
      <c r="N155" s="9">
        <f>SUM('Model inputs'!N156,'Model inputs'!N157)</f>
        <v>336.4396288858236</v>
      </c>
    </row>
    <row r="156" outlineLevel="1">
      <c r="A156" t="inlineStr" s="19">
        <is>
          <t xml:space="preserve">Infra and inference (USD) &gt; Classroom</t>
        </is>
      </c>
      <c r="C156" s="10">
        <f>IF('Model inputs'!C153="","",'Model inputs'!C153)</f>
        <v>138.21061837254513</v>
      </c>
      <c r="D156" s="10">
        <f>IF('Model inputs'!D153="","",'Model inputs'!D153)</f>
        <v>145.98859140102766</v>
      </c>
      <c r="E156" s="10">
        <f>IF('Model inputs'!E153="","",'Model inputs'!E153)</f>
        <v>153.58616797287212</v>
      </c>
      <c r="F156" s="10">
        <f>IF('Model inputs'!F153="","",'Model inputs'!F153)</f>
        <v>160.99503015546264</v>
      </c>
      <c r="G156" s="10">
        <f>IF('Model inputs'!G153="","",'Model inputs'!G153)</f>
        <v>168.21146196204313</v>
      </c>
      <c r="H156" s="10">
        <f>IF('Model inputs'!H153="","",'Model inputs'!H153)</f>
        <v>175.23461756049974</v>
      </c>
      <c r="I156" s="10">
        <f>'Model inputs'!I60+'Model inputs'!I47</f>
        <v>182.06549196372225</v>
      </c>
      <c r="J156" s="10">
        <f>'Model inputs'!J60+'Model inputs'!J47</f>
        <v>188.7062836987336</v>
      </c>
      <c r="K156" s="10">
        <f>'Model inputs'!K60+'Model inputs'!K47</f>
        <v>195.15998645146684</v>
      </c>
      <c r="L156" s="10">
        <f>'Model inputs'!L60+'Model inputs'!L47</f>
        <v>201.43011977777766</v>
      </c>
      <c r="M156" s="10">
        <f>'Model inputs'!M60+'Model inputs'!M47</f>
        <v>207.52054714990663</v>
      </c>
      <c r="N156" s="10">
        <f>'Model inputs'!N60+'Model inputs'!N47</f>
        <v>213.43535046831445</v>
      </c>
    </row>
    <row r="157" outlineLevel="1">
      <c r="A157" t="inlineStr" s="19">
        <is>
          <t xml:space="preserve">Infra and inference (USD) &gt; Household</t>
        </is>
      </c>
      <c r="C157" s="10">
        <f>IF('Model inputs'!C154="","",'Model inputs'!C154)</f>
        <v>75.74668562745487</v>
      </c>
      <c r="D157" s="10">
        <f>IF('Model inputs'!D154="","",'Model inputs'!D154)</f>
        <v>82.17835827897231</v>
      </c>
      <c r="E157" s="10">
        <f>IF('Model inputs'!E154="","",'Model inputs'!E154)</f>
        <v>88.05270403272786</v>
      </c>
      <c r="F157" s="10">
        <f>IF('Model inputs'!F154="","",'Model inputs'!F154)</f>
        <v>93.42508724068934</v>
      </c>
      <c r="G157" s="10">
        <f>IF('Model inputs'!G154="","",'Model inputs'!G154)</f>
        <v>98.34286573888666</v>
      </c>
      <c r="H157" s="10">
        <f>IF('Model inputs'!H154="","",'Model inputs'!H154)</f>
        <v>102.84738422993156</v>
      </c>
      <c r="I157" s="10">
        <f>'Model inputs'!I61+'Model inputs'!I48</f>
        <v>106.97524457988318</v>
      </c>
      <c r="J157" s="10">
        <f>'Model inputs'!J61+'Model inputs'!J48</f>
        <v>110.75916517089972</v>
      </c>
      <c r="K157" s="10">
        <f>'Model inputs'!K61+'Model inputs'!K48</f>
        <v>114.22859382062673</v>
      </c>
      <c r="L157" s="10">
        <f>'Model inputs'!L61+'Model inputs'!L48</f>
        <v>117.41016556521832</v>
      </c>
      <c r="M157" s="10">
        <f>'Model inputs'!M61+'Model inputs'!M48</f>
        <v>120.32805831353954</v>
      </c>
      <c r="N157" s="10">
        <f>'Model inputs'!N61+'Model inputs'!N48</f>
        <v>123.00427841750917</v>
      </c>
    </row>
    <row r="158">
      <c r="A158" t="inlineStr" s="18">
        <is>
          <t xml:space="preserve">Infra and inference (USD)</t>
        </is>
      </c>
      <c r="H158" s="9">
        <f>SUM('Model inputs'!H159,'Model inputs'!H160)</f>
        <v>406.4698967582178</v>
      </c>
    </row>
    <row r="159" outlineLevel="1">
      <c r="A159" t="inlineStr" s="19">
        <is>
          <t xml:space="preserve">Infra and inference (USD) &gt; Classroom</t>
        </is>
      </c>
      <c r="H159" s="10">
        <f>'Model inputs'!H51+'Model inputs'!H38</f>
        <v>270.4138999221687</v>
      </c>
    </row>
    <row r="160" outlineLevel="1">
      <c r="A160" t="inlineStr" s="19">
        <is>
          <t xml:space="preserve">Infra and inference (USD) &gt; Household</t>
        </is>
      </c>
      <c r="H160" s="10">
        <f>'Model inputs'!H52+'Model inputs'!H39</f>
        <v>136.05599683604913</v>
      </c>
    </row>
    <row r="161">
      <c r="A161" t="inlineStr" s="18">
        <is>
          <t xml:space="preserve">Infra and inference (USD)</t>
        </is>
      </c>
      <c r="H161" s="9">
        <f>SUM('Model inputs'!H162,'Model inputs'!H163)</f>
        <v>647.6079695395395</v>
      </c>
    </row>
    <row r="162" outlineLevel="1">
      <c r="A162" t="inlineStr" s="19">
        <is>
          <t xml:space="preserve">Infra and inference (USD) &gt; Classroom</t>
        </is>
      </c>
      <c r="H162" s="10">
        <f>'Model inputs'!H54+'Model inputs'!H41</f>
        <v>429.3816563913608</v>
      </c>
    </row>
    <row r="163" outlineLevel="1">
      <c r="A163" t="inlineStr" s="19">
        <is>
          <t xml:space="preserve">Infra and inference (USD) &gt; Household</t>
        </is>
      </c>
      <c r="H163" s="10">
        <f>'Model inputs'!H55+'Model inputs'!H42</f>
        <v>218.22631314817863</v>
      </c>
    </row>
    <row r="164">
      <c r="A164" t="inlineStr" s="18">
        <is>
          <t xml:space="preserve">Cost per story, selected policy (USD, estimate) · Inference cost (USD, estimate) · Downside · Downside</t>
        </is>
      </c>
      <c r="O164" s="20">
        <f>SUM('Model inputs'!O306,'Model inputs'!O307)+SUM('Model inputs'!O298,'Model inputs'!O299,'Model inputs'!O300)</f>
        <v>0.3559</v>
      </c>
    </row>
    <row r="165">
      <c r="A165" t="inlineStr" s="18">
        <is>
          <t xml:space="preserve">Cost per story, selected policy (USD, estimate) · Inference cost (USD, estimate) · Growth · Growth</t>
        </is>
      </c>
      <c r="O165" s="20">
        <f>SUM('Model inputs'!O309,'Model inputs'!O310)+SUM('Model inputs'!O302,'Model inputs'!O303,'Model inputs'!O304)</f>
        <v>0.1959</v>
      </c>
    </row>
    <row r="166">
      <c r="A166" t="inlineStr" s="18">
        <is>
          <t xml:space="preserve">Ending cash (USD) · Unit economics by plan, month 6 (Main vs Growth vs Downside) · Main Scenario</t>
        </is>
      </c>
      <c r="B166" s="10">
        <f>IF('Model inputs'!O313="","",'Model inputs'!O313)</f>
        <v>2000</v>
      </c>
      <c r="C166" s="10">
        <f>'Model inputs'!B166+'Model inputs'!C199</f>
        <v>2359.4946959999997</v>
      </c>
      <c r="D166" s="10">
        <f>'Model inputs'!C166+'Model inputs'!D199</f>
        <v>2755.3385863199996</v>
      </c>
      <c r="E166" s="10">
        <f>'Model inputs'!D166+'Model inputs'!E199</f>
        <v>3185.2092371144</v>
      </c>
      <c r="F166" s="10">
        <f>'Model inputs'!E166+'Model inputs'!F199</f>
        <v>3646.952444194248</v>
      </c>
      <c r="G166" s="10">
        <f>'Model inputs'!F166+'Model inputs'!G199</f>
        <v>4138.569301606238</v>
      </c>
      <c r="H166" s="10">
        <f>IF('Model inputs'!H19="","",'Model inputs'!H19)</f>
        <v>4658.204288916842</v>
      </c>
    </row>
    <row r="167">
      <c r="A167" t="inlineStr" s="18">
        <is>
          <t xml:space="preserve">Ending cash (USD) · Unit economics by plan, month 6 (Main vs Growth vs Downside) · Downside</t>
        </is>
      </c>
      <c r="B167" s="10">
        <f>IF('Model inputs'!O314="","",'Model inputs'!O314)</f>
        <v>2000</v>
      </c>
      <c r="C167" s="10">
        <f>'Model inputs'!B167+'Model inputs'!C200</f>
        <v>2190.47424</v>
      </c>
      <c r="D167" s="10">
        <f>'Model inputs'!C167+'Model inputs'!D200</f>
        <v>2391.35016</v>
      </c>
      <c r="E167" s="10">
        <f>'Model inputs'!D167+'Model inputs'!E200</f>
        <v>2601.32624864</v>
      </c>
      <c r="F167" s="10">
        <f>'Model inputs'!E167+'Model inputs'!F200</f>
        <v>2819.2806968256</v>
      </c>
      <c r="G167" s="10">
        <f>'Model inputs'!F167+'Model inputs'!G200</f>
        <v>3044.245373854464</v>
      </c>
      <c r="H167" s="10">
        <f>IF('Model inputs'!H20="","",'Model inputs'!H20)</f>
        <v>3275.383651235836</v>
      </c>
    </row>
    <row r="168">
      <c r="A168" t="inlineStr" s="18">
        <is>
          <t xml:space="preserve">Ending cash (USD) · Unit economics by plan, month 6 (Main vs Growth vs Downside) · Growth</t>
        </is>
      </c>
      <c r="B168" s="10">
        <f>IF('Model inputs'!O315="","",'Model inputs'!O315)</f>
        <v>2000</v>
      </c>
      <c r="C168" s="10">
        <f>'Model inputs'!B168+'Model inputs'!C201</f>
        <v>2345.394046</v>
      </c>
      <c r="D168" s="10">
        <f>'Model inputs'!C168+'Model inputs'!D201</f>
        <v>2781.91248582</v>
      </c>
      <c r="E168" s="10">
        <f>'Model inputs'!D168+'Model inputs'!E201</f>
        <v>3303.8824040294</v>
      </c>
      <c r="F168" s="10">
        <f>'Model inputs'!E168+'Model inputs'!F201</f>
        <v>3906.036207349798</v>
      </c>
      <c r="G168" s="10">
        <f>'Model inputs'!F168+'Model inputs'!G201</f>
        <v>4583.480654215282</v>
      </c>
      <c r="H168" s="10">
        <f>IF('Model inputs'!H21="","",'Model inputs'!H21)</f>
        <v>5331.668318307923</v>
      </c>
    </row>
    <row r="169">
      <c r="A169" t="inlineStr" s="18">
        <is>
          <t xml:space="preserve">Gross profit (USD)</t>
        </is>
      </c>
      <c r="B169" s="9">
        <f>SUM('Model inputs'!B170,'Model inputs'!B171)</f>
        <v>0</v>
      </c>
      <c r="C169" s="9">
        <f>IF('Model inputs'!C137="","",'Model inputs'!C137)</f>
        <v>409.494696</v>
      </c>
      <c r="D169" s="9">
        <f>IF('Model inputs'!D137="","",'Model inputs'!D137)</f>
        <v>445.84389032</v>
      </c>
      <c r="E169" s="9">
        <f>IF('Model inputs'!E137="","",'Model inputs'!E137)</f>
        <v>479.87065079440004</v>
      </c>
      <c r="F169" s="9">
        <f>IF('Model inputs'!F137="","",'Model inputs'!F137)</f>
        <v>511.743207079848</v>
      </c>
      <c r="G169" s="9">
        <f>IF('Model inputs'!G137="","",'Model inputs'!G137)</f>
        <v>541.6168574119902</v>
      </c>
      <c r="H169" s="9">
        <f>IF('Model inputs'!H137="","",'Model inputs'!H137)</f>
        <v>569.6349873106051</v>
      </c>
    </row>
    <row r="170" outlineLevel="1">
      <c r="A170" t="inlineStr" s="19">
        <is>
          <t xml:space="preserve">Gross profit (USD) &gt; Classroom</t>
        </is>
      </c>
      <c r="B170" s="10">
        <f>0</f>
        <v>0</v>
      </c>
      <c r="C170" s="10">
        <f>IF('Model inputs'!C138="","",'Model inputs'!C138)</f>
        <v>172.08938162745483</v>
      </c>
      <c r="D170" s="10">
        <f>IF('Model inputs'!D138="","",'Model inputs'!D138)</f>
        <v>184.00240859897232</v>
      </c>
      <c r="E170" s="10">
        <f>IF('Model inputs'!E138="","",'Model inputs'!E138)</f>
        <v>195.5051020271279</v>
      </c>
      <c r="F170" s="10">
        <f>IF('Model inputs'!F138="","",'Model inputs'!F138)</f>
        <v>206.62350174453735</v>
      </c>
      <c r="G170" s="10">
        <f>IF('Model inputs'!G138="","",'Model inputs'!G138)</f>
        <v>217.37851398095688</v>
      </c>
      <c r="H170" s="10">
        <f>IF('Model inputs'!H138="","",'Model inputs'!H138)</f>
        <v>227.7876591042103</v>
      </c>
    </row>
    <row r="171" outlineLevel="1">
      <c r="A171" t="inlineStr" s="19">
        <is>
          <t xml:space="preserve">Gross profit (USD) &gt; Household</t>
        </is>
      </c>
      <c r="B171" s="10">
        <f>0</f>
        <v>0</v>
      </c>
      <c r="C171" s="10">
        <f>IF('Model inputs'!C139="","",'Model inputs'!C139)</f>
        <v>237.40531437254512</v>
      </c>
      <c r="D171" s="10">
        <f>IF('Model inputs'!D139="","",'Model inputs'!D139)</f>
        <v>261.84148172102766</v>
      </c>
      <c r="E171" s="10">
        <f>IF('Model inputs'!E139="","",'Model inputs'!E139)</f>
        <v>284.3655487672721</v>
      </c>
      <c r="F171" s="10">
        <f>IF('Model inputs'!F139="","",'Model inputs'!F139)</f>
        <v>305.11970533531064</v>
      </c>
      <c r="G171" s="10">
        <f>IF('Model inputs'!G139="","",'Model inputs'!G139)</f>
        <v>324.23834343103334</v>
      </c>
      <c r="H171" s="10">
        <f>IF('Model inputs'!H139="","",'Model inputs'!H139)</f>
        <v>341.8473282063948</v>
      </c>
    </row>
    <row r="172">
      <c r="A172" t="inlineStr" s="18">
        <is>
          <t xml:space="preserve">Gross profit (USD)</t>
        </is>
      </c>
      <c r="B172" s="9">
        <f>SUM('Model inputs'!B173,'Model inputs'!B174)</f>
        <v>0</v>
      </c>
      <c r="C172" s="9">
        <f>SUM('Model inputs'!C173,'Model inputs'!C174)</f>
        <v>240.47424</v>
      </c>
      <c r="D172" s="9">
        <f>SUM('Model inputs'!D173,'Model inputs'!D174)</f>
        <v>250.8759200000001</v>
      </c>
      <c r="E172" s="9">
        <f>SUM('Model inputs'!E173,'Model inputs'!E174)</f>
        <v>259.97608863999994</v>
      </c>
      <c r="F172" s="9">
        <f>SUM('Model inputs'!F173,'Model inputs'!F174)</f>
        <v>267.9544481856001</v>
      </c>
      <c r="G172" s="9">
        <f>SUM('Model inputs'!G173,'Model inputs'!G174)</f>
        <v>274.96467702886406</v>
      </c>
      <c r="H172" s="9">
        <f>IF('Model inputs'!H143="","",'Model inputs'!H143)</f>
        <v>281.13827738137223</v>
      </c>
    </row>
    <row r="173" outlineLevel="1">
      <c r="A173" t="inlineStr" s="19">
        <is>
          <t xml:space="preserve">Gross profit (USD) &gt; Classroom</t>
        </is>
      </c>
      <c r="B173" s="10">
        <f>'Model inputs'!B170</f>
        <v>0</v>
      </c>
      <c r="C173" s="10">
        <f>'Model inputs'!C132-'Model inputs'!C184</f>
        <v>66.84996356060353</v>
      </c>
      <c r="D173" s="10">
        <f>'Model inputs'!D132-'Model inputs'!D184</f>
        <v>69.75087334636322</v>
      </c>
      <c r="E173" s="10">
        <f>'Model inputs'!E132-'Model inputs'!E184</f>
        <v>72.45489424864337</v>
      </c>
      <c r="F173" s="10">
        <f>'Model inputs'!F132-'Model inputs'!F184</f>
        <v>74.97908190490438</v>
      </c>
      <c r="G173" s="10">
        <f>'Model inputs'!G132-'Model inputs'!G184</f>
        <v>77.3380604076932</v>
      </c>
      <c r="H173" s="10">
        <f>IF('Model inputs'!H144="","",'Model inputs'!H144)</f>
        <v>79.54460907367132</v>
      </c>
    </row>
    <row r="174" outlineLevel="1">
      <c r="A174" t="inlineStr" s="19">
        <is>
          <t xml:space="preserve">Gross profit (USD) &gt; Household</t>
        </is>
      </c>
      <c r="B174" s="10">
        <f>'Model inputs'!B171</f>
        <v>0</v>
      </c>
      <c r="C174" s="10">
        <f>'Model inputs'!C133-'Model inputs'!C185</f>
        <v>173.62427643939648</v>
      </c>
      <c r="D174" s="10">
        <f>'Model inputs'!D133-'Model inputs'!D185</f>
        <v>181.12504665363687</v>
      </c>
      <c r="E174" s="10">
        <f>'Model inputs'!E133-'Model inputs'!E185</f>
        <v>187.5211943913566</v>
      </c>
      <c r="F174" s="10">
        <f>'Model inputs'!F133-'Model inputs'!F185</f>
        <v>192.9753662806957</v>
      </c>
      <c r="G174" s="10">
        <f>'Model inputs'!G133-'Model inputs'!G185</f>
        <v>197.62661662117085</v>
      </c>
      <c r="H174" s="10">
        <f>IF('Model inputs'!H145="","",'Model inputs'!H145)</f>
        <v>201.5936683077009</v>
      </c>
    </row>
    <row r="175">
      <c r="A175" t="inlineStr" s="18">
        <is>
          <t xml:space="preserve">Gross profit (USD)</t>
        </is>
      </c>
      <c r="B175" s="9">
        <f>SUM('Model inputs'!B176,'Model inputs'!B177)</f>
        <v>0</v>
      </c>
      <c r="C175" s="9">
        <f>SUM('Model inputs'!C176,'Model inputs'!C177)</f>
        <v>395.394046</v>
      </c>
      <c r="D175" s="9">
        <f>SUM('Model inputs'!D176,'Model inputs'!D177)</f>
        <v>486.51843982</v>
      </c>
      <c r="E175" s="9">
        <f>SUM('Model inputs'!E176,'Model inputs'!E177)</f>
        <v>571.9699182094</v>
      </c>
      <c r="F175" s="9">
        <f>SUM('Model inputs'!F176,'Model inputs'!F177)</f>
        <v>652.1538033203981</v>
      </c>
      <c r="G175" s="9">
        <f>SUM('Model inputs'!G176,'Model inputs'!G177)</f>
        <v>727.4444468654835</v>
      </c>
      <c r="H175" s="9">
        <f>IF('Model inputs'!H146="","",'Model inputs'!H146)</f>
        <v>798.187664092641</v>
      </c>
    </row>
    <row r="176" outlineLevel="1">
      <c r="A176" t="inlineStr" s="19">
        <is>
          <t xml:space="preserve">Gross profit (USD) &gt; Classroom</t>
        </is>
      </c>
      <c r="B176" s="10">
        <f>'Model inputs'!B170</f>
        <v>0</v>
      </c>
      <c r="C176" s="10">
        <f>'Model inputs'!C135-'Model inputs'!C187</f>
        <v>144.33903701713652</v>
      </c>
      <c r="D176" s="10">
        <f>'Model inputs'!D135-'Model inputs'!D187</f>
        <v>176.76625478664403</v>
      </c>
      <c r="E176" s="10">
        <f>'Model inputs'!E135-'Model inputs'!E187</f>
        <v>208.14711787929417</v>
      </c>
      <c r="F176" s="10">
        <f>'Model inputs'!F135-'Model inputs'!F187</f>
        <v>238.5445418309825</v>
      </c>
      <c r="G176" s="10">
        <f>'Model inputs'!G135-'Model inputs'!G187</f>
        <v>268.00370074787037</v>
      </c>
      <c r="H176" s="10">
        <f>IF('Model inputs'!H147="","",'Model inputs'!H147)</f>
        <v>296.5614107439492</v>
      </c>
    </row>
    <row r="177" outlineLevel="1">
      <c r="A177" t="inlineStr" s="19">
        <is>
          <t xml:space="preserve">Gross profit (USD) &gt; Household</t>
        </is>
      </c>
      <c r="B177" s="10">
        <f>'Model inputs'!B171</f>
        <v>0</v>
      </c>
      <c r="C177" s="10">
        <f>'Model inputs'!C136-'Model inputs'!C188</f>
        <v>251.05500898286348</v>
      </c>
      <c r="D177" s="10">
        <f>'Model inputs'!D136-'Model inputs'!D188</f>
        <v>309.752185033356</v>
      </c>
      <c r="E177" s="10">
        <f>'Model inputs'!E136-'Model inputs'!E188</f>
        <v>363.8228003301058</v>
      </c>
      <c r="F177" s="10">
        <f>'Model inputs'!F136-'Model inputs'!F188</f>
        <v>413.60926148941553</v>
      </c>
      <c r="G177" s="10">
        <f>'Model inputs'!G136-'Model inputs'!G188</f>
        <v>459.44074611761323</v>
      </c>
      <c r="H177" s="10">
        <f>IF('Model inputs'!H148="","",'Model inputs'!H148)</f>
        <v>501.62625334869176</v>
      </c>
    </row>
    <row r="178">
      <c r="A178" t="inlineStr" s="18">
        <is>
          <t xml:space="preserve">Hosting per month (USD, assumed) · Hosting and neatlogs allocated by revenue (USD) · Downside · Downside</t>
        </is>
      </c>
      <c r="O178" s="10">
        <f>'Model inputs'!O49</f>
        <v>25</v>
      </c>
    </row>
    <row r="179">
      <c r="A179" t="inlineStr" s="18">
        <is>
          <t xml:space="preserve">Hosting per month (USD, assumed) · Hosting and neatlogs allocated by revenue (USD) · Growth · Growth</t>
        </is>
      </c>
      <c r="O179" s="10">
        <f>'Model inputs'!O49</f>
        <v>25</v>
      </c>
    </row>
    <row r="180">
      <c r="A180" t="inlineStr" s="18">
        <is>
          <t xml:space="preserve">Infra and inference (USD)</t>
        </is>
      </c>
      <c r="B180" s="9">
        <f>SUM('Model inputs'!B181,'Model inputs'!B182)</f>
        <v>0</v>
      </c>
      <c r="C180" s="9">
        <f>IF('Model inputs'!C152="","",'Model inputs'!C152)</f>
        <v>213.957304</v>
      </c>
      <c r="D180" s="9">
        <f>IF('Model inputs'!D152="","",'Model inputs'!D152)</f>
        <v>228.16694967999996</v>
      </c>
      <c r="E180" s="9">
        <f>IF('Model inputs'!E152="","",'Model inputs'!E152)</f>
        <v>241.63887200559998</v>
      </c>
      <c r="F180" s="9">
        <f>IF('Model inputs'!F152="","",'Model inputs'!F152)</f>
        <v>254.42011739615197</v>
      </c>
      <c r="G180" s="9">
        <f>IF('Model inputs'!G152="","",'Model inputs'!G152)</f>
        <v>266.5543277009298</v>
      </c>
      <c r="H180" s="9">
        <f>IF('Model inputs'!H152="","",'Model inputs'!H152)</f>
        <v>278.0820017904313</v>
      </c>
    </row>
    <row r="181" outlineLevel="1">
      <c r="A181" t="inlineStr" s="19">
        <is>
          <t xml:space="preserve">Infra and inference (USD) &gt; Classroom</t>
        </is>
      </c>
      <c r="B181" s="10">
        <f>0</f>
        <v>0</v>
      </c>
      <c r="C181" s="10">
        <f>IF('Model inputs'!C153="","",'Model inputs'!C153)</f>
        <v>138.21061837254513</v>
      </c>
      <c r="D181" s="10">
        <f>IF('Model inputs'!D153="","",'Model inputs'!D153)</f>
        <v>145.98859140102766</v>
      </c>
      <c r="E181" s="10">
        <f>IF('Model inputs'!E153="","",'Model inputs'!E153)</f>
        <v>153.58616797287212</v>
      </c>
      <c r="F181" s="10">
        <f>IF('Model inputs'!F153="","",'Model inputs'!F153)</f>
        <v>160.99503015546264</v>
      </c>
      <c r="G181" s="10">
        <f>IF('Model inputs'!G153="","",'Model inputs'!G153)</f>
        <v>168.21146196204313</v>
      </c>
      <c r="H181" s="10">
        <f>IF('Model inputs'!H153="","",'Model inputs'!H153)</f>
        <v>175.23461756049974</v>
      </c>
    </row>
    <row r="182" outlineLevel="1">
      <c r="A182" t="inlineStr" s="19">
        <is>
          <t xml:space="preserve">Infra and inference (USD) &gt; Household</t>
        </is>
      </c>
      <c r="B182" s="10">
        <f>0</f>
        <v>0</v>
      </c>
      <c r="C182" s="10">
        <f>IF('Model inputs'!C154="","",'Model inputs'!C154)</f>
        <v>75.74668562745487</v>
      </c>
      <c r="D182" s="10">
        <f>IF('Model inputs'!D154="","",'Model inputs'!D154)</f>
        <v>82.17835827897231</v>
      </c>
      <c r="E182" s="10">
        <f>IF('Model inputs'!E154="","",'Model inputs'!E154)</f>
        <v>88.05270403272786</v>
      </c>
      <c r="F182" s="10">
        <f>IF('Model inputs'!F154="","",'Model inputs'!F154)</f>
        <v>93.42508724068934</v>
      </c>
      <c r="G182" s="10">
        <f>IF('Model inputs'!G154="","",'Model inputs'!G154)</f>
        <v>98.34286573888666</v>
      </c>
      <c r="H182" s="10">
        <f>IF('Model inputs'!H154="","",'Model inputs'!H154)</f>
        <v>102.84738422993156</v>
      </c>
    </row>
    <row r="183">
      <c r="A183" t="inlineStr" s="18">
        <is>
          <t xml:space="preserve">Infra and inference (USD)</t>
        </is>
      </c>
      <c r="B183" s="9">
        <f>SUM('Model inputs'!B184,'Model inputs'!B185)</f>
        <v>0</v>
      </c>
      <c r="C183" s="9">
        <f>SUM('Model inputs'!C184,'Model inputs'!C185)</f>
        <v>354.70576</v>
      </c>
      <c r="D183" s="9">
        <f>SUM('Model inputs'!D184,'Model inputs'!D185)</f>
        <v>367.0910799999999</v>
      </c>
      <c r="E183" s="9">
        <f>SUM('Model inputs'!E184,'Model inputs'!E185)</f>
        <v>378.3412213600001</v>
      </c>
      <c r="F183" s="9">
        <f>SUM('Model inputs'!F184,'Model inputs'!F185)</f>
        <v>388.5831037144</v>
      </c>
      <c r="G183" s="9">
        <f>SUM('Model inputs'!G184,'Model inputs'!G185)</f>
        <v>397.92721018213604</v>
      </c>
      <c r="H183" s="9">
        <f>IF('Model inputs'!H158="","",'Model inputs'!H158)</f>
        <v>406.4698967582178</v>
      </c>
    </row>
    <row r="184" outlineLevel="1">
      <c r="A184" t="inlineStr" s="19">
        <is>
          <t xml:space="preserve">Infra and inference (USD) &gt; Classroom</t>
        </is>
      </c>
      <c r="B184" s="10">
        <f>'Model inputs'!B181</f>
        <v>0</v>
      </c>
      <c r="C184" s="10">
        <f>'Model inputs'!C51+'Model inputs'!C38</f>
        <v>234.7500364393965</v>
      </c>
      <c r="D184" s="10">
        <f>'Model inputs'!D51+'Model inputs'!D38</f>
        <v>242.7531266536368</v>
      </c>
      <c r="E184" s="10">
        <f>'Model inputs'!E51+'Model inputs'!E38</f>
        <v>250.29886575135663</v>
      </c>
      <c r="F184" s="10">
        <f>'Model inputs'!F51+'Model inputs'!F38</f>
        <v>257.40945249509565</v>
      </c>
      <c r="G184" s="10">
        <f>'Model inputs'!G51+'Model inputs'!G38</f>
        <v>264.1071619283068</v>
      </c>
      <c r="H184" s="10">
        <f>IF('Model inputs'!H159="","",'Model inputs'!H159)</f>
        <v>270.4138999221687</v>
      </c>
    </row>
    <row r="185" outlineLevel="1">
      <c r="A185" t="inlineStr" s="19">
        <is>
          <t xml:space="preserve">Infra and inference (USD) &gt; Household</t>
        </is>
      </c>
      <c r="B185" s="10">
        <f>'Model inputs'!B182</f>
        <v>0</v>
      </c>
      <c r="C185" s="10">
        <f>'Model inputs'!C52+'Model inputs'!C39</f>
        <v>119.9557235606035</v>
      </c>
      <c r="D185" s="10">
        <f>'Model inputs'!D52+'Model inputs'!D39</f>
        <v>124.33795334636315</v>
      </c>
      <c r="E185" s="10">
        <f>'Model inputs'!E52+'Model inputs'!E39</f>
        <v>128.04235560864342</v>
      </c>
      <c r="F185" s="10">
        <f>'Model inputs'!F52+'Model inputs'!F39</f>
        <v>131.17365121930436</v>
      </c>
      <c r="G185" s="10">
        <f>'Model inputs'!G52+'Model inputs'!G39</f>
        <v>133.8200482538292</v>
      </c>
      <c r="H185" s="10">
        <f>IF('Model inputs'!H160="","",'Model inputs'!H160)</f>
        <v>136.05599683604913</v>
      </c>
    </row>
    <row r="186">
      <c r="A186" t="inlineStr" s="18">
        <is>
          <t xml:space="preserve">Infra and inference (USD)</t>
        </is>
      </c>
      <c r="B186" s="9">
        <f>SUM('Model inputs'!B187,'Model inputs'!B188)</f>
        <v>0</v>
      </c>
      <c r="C186" s="9">
        <f>SUM('Model inputs'!C187,'Model inputs'!C188)</f>
        <v>341.97795399999995</v>
      </c>
      <c r="D186" s="9">
        <f>SUM('Model inputs'!D187,'Model inputs'!D188)</f>
        <v>409.11880018</v>
      </c>
      <c r="E186" s="9">
        <f>SUM('Model inputs'!E187,'Model inputs'!E188)</f>
        <v>473.06889259059994</v>
      </c>
      <c r="F186" s="9">
        <f>SUM('Model inputs'!F187,'Model inputs'!F188)</f>
        <v>534.0180761156018</v>
      </c>
      <c r="G186" s="9">
        <f>SUM('Model inputs'!G187,'Model inputs'!G188)</f>
        <v>592.1429705106362</v>
      </c>
      <c r="H186" s="9">
        <f>IF('Model inputs'!H161="","",'Model inputs'!H161)</f>
        <v>647.6079695395395</v>
      </c>
    </row>
    <row r="187" outlineLevel="1">
      <c r="A187" t="inlineStr" s="19">
        <is>
          <t xml:space="preserve">Infra and inference (USD) &gt; Classroom</t>
        </is>
      </c>
      <c r="B187" s="10">
        <f>'Model inputs'!B181</f>
        <v>0</v>
      </c>
      <c r="C187" s="10">
        <f>'Model inputs'!C54+'Model inputs'!C41</f>
        <v>223.96096298286344</v>
      </c>
      <c r="D187" s="10">
        <f>'Model inputs'!D54+'Model inputs'!D41</f>
        <v>267.48474521335595</v>
      </c>
      <c r="E187" s="10">
        <f>'Model inputs'!E54+'Model inputs'!E41</f>
        <v>309.7763521207058</v>
      </c>
      <c r="F187" s="10">
        <f>'Model inputs'!F54+'Model inputs'!F41</f>
        <v>350.8412240690174</v>
      </c>
      <c r="G187" s="10">
        <f>'Model inputs'!G54+'Model inputs'!G41</f>
        <v>390.70049217512957</v>
      </c>
      <c r="H187" s="10">
        <f>IF('Model inputs'!H162="","",'Model inputs'!H162)</f>
        <v>429.3816563913608</v>
      </c>
    </row>
    <row r="188" outlineLevel="1">
      <c r="A188" t="inlineStr" s="19">
        <is>
          <t xml:space="preserve">Infra and inference (USD) &gt; Household</t>
        </is>
      </c>
      <c r="B188" s="10">
        <f>'Model inputs'!B182</f>
        <v>0</v>
      </c>
      <c r="C188" s="10">
        <f>'Model inputs'!C55+'Model inputs'!C42</f>
        <v>118.01699101713652</v>
      </c>
      <c r="D188" s="10">
        <f>'Model inputs'!D55+'Model inputs'!D42</f>
        <v>141.63405496664402</v>
      </c>
      <c r="E188" s="10">
        <f>'Model inputs'!E55+'Model inputs'!E42</f>
        <v>163.2925404698942</v>
      </c>
      <c r="F188" s="10">
        <f>'Model inputs'!F55+'Model inputs'!F42</f>
        <v>183.1768520465845</v>
      </c>
      <c r="G188" s="10">
        <f>'Model inputs'!G55+'Model inputs'!G42</f>
        <v>201.4424783355067</v>
      </c>
      <c r="H188" s="10">
        <f>IF('Model inputs'!H163="","",'Model inputs'!H163)</f>
        <v>218.22631314817863</v>
      </c>
    </row>
    <row r="189">
      <c r="A189" t="inlineStr" s="18">
        <is>
          <t xml:space="preserve">Monthly churn (assumed)</t>
        </is>
      </c>
      <c r="O189" s="11">
        <v>0</v>
      </c>
    </row>
    <row r="190" outlineLevel="1">
      <c r="A190" t="inlineStr" s="19">
        <is>
          <t xml:space="preserve">Monthly churn (assumed) &gt; Classroom</t>
        </is>
      </c>
      <c r="O190" s="12">
        <f>0.06</f>
        <v>0.06</v>
      </c>
    </row>
    <row r="191" outlineLevel="1">
      <c r="A191" t="inlineStr" s="19">
        <is>
          <t xml:space="preserve">Monthly churn (assumed) &gt; Household</t>
        </is>
      </c>
      <c r="O191" s="12">
        <f>0.15</f>
        <v>0.15</v>
      </c>
    </row>
    <row r="192">
      <c r="A192" t="inlineStr" s="18">
        <is>
          <t xml:space="preserve">Monthly churn (assumed)</t>
        </is>
      </c>
      <c r="O192" s="11">
        <v>0</v>
      </c>
    </row>
    <row r="193" outlineLevel="1">
      <c r="A193" t="inlineStr" s="19">
        <is>
          <t xml:space="preserve">Monthly churn (assumed) &gt; Classroom</t>
        </is>
      </c>
      <c r="O193" s="12">
        <f>'Model inputs'!O63</f>
        <v>0.03</v>
      </c>
    </row>
    <row r="194" outlineLevel="1">
      <c r="A194" t="inlineStr" s="19">
        <is>
          <t xml:space="preserve">Monthly churn (assumed) &gt; Household</t>
        </is>
      </c>
      <c r="O194" s="12">
        <f>'Model inputs'!O64</f>
        <v>0.08</v>
      </c>
    </row>
    <row r="195">
      <c r="A195" t="inlineStr" s="18">
        <is>
          <t xml:space="preserve">neatlogs bill (USD, derived) · Unit economics by plan, month 6 (Main vs Growth vs Downside) · Main Scenario</t>
        </is>
      </c>
      <c r="B195" s="10">
        <v>0</v>
      </c>
      <c r="C195" s="10">
        <f>IF(IF(IF(ISERROR('Model inputs'!O65=1),'Model inputs'!O65=1,IF('Model inputs'!O65="","",'Model inputs'!O65=1))="",FALSE,IF(ISERROR('Model inputs'!O65=1),'Model inputs'!O65=1,IF('Model inputs'!O65="","",'Model inputs'!O65=1))),0,IF(IF(IF(ISERROR('Model inputs'!C269&lt;='Model inputs'!O66),'Model inputs'!C269&lt;='Model inputs'!O66,IF(OR('Model inputs'!C269="",'Model inputs'!O66=""),"",'Model inputs'!C269&lt;='Model inputs'!O66))="",FALSE,IF(ISERROR('Model inputs'!C269&lt;='Model inputs'!O66),'Model inputs'!C269&lt;='Model inputs'!O66,IF(OR('Model inputs'!C269="",'Model inputs'!O66=""),"",'Model inputs'!C269&lt;='Model inputs'!O66))),0,IF(IF(IF(ISERROR('Model inputs'!C269&lt;='Model inputs'!O68),'Model inputs'!C269&lt;='Model inputs'!O68,IF(OR('Model inputs'!C269="",'Model inputs'!O68=""),"",'Model inputs'!C269&lt;='Model inputs'!O68))="",FALSE,IF(ISERROR('Model inputs'!C269&lt;='Model inputs'!O68),'Model inputs'!C269&lt;='Model inputs'!O68,IF(OR('Model inputs'!C269="",'Model inputs'!O68=""),"",'Model inputs'!C269&lt;='Model inputs'!O68))),IF('Model inputs'!O69="","",'Model inputs'!O69),'Model inputs'!O69+CEILING(('Model inputs'!C269-'Model inputs'!O68)/100000,1)*'Model inputs'!O67)))</f>
        <v>0</v>
      </c>
      <c r="D195" s="10">
        <f>IF(IF(IF(ISERROR('Model inputs'!O65=1),'Model inputs'!O65=1,IF('Model inputs'!O65="","",'Model inputs'!O65=1))="",FALSE,IF(ISERROR('Model inputs'!O65=1),'Model inputs'!O65=1,IF('Model inputs'!O65="","",'Model inputs'!O65=1))),0,IF(IF(IF(ISERROR('Model inputs'!D269&lt;='Model inputs'!O66),'Model inputs'!D269&lt;='Model inputs'!O66,IF(OR('Model inputs'!D269="",'Model inputs'!O66=""),"",'Model inputs'!D269&lt;='Model inputs'!O66))="",FALSE,IF(ISERROR('Model inputs'!D269&lt;='Model inputs'!O66),'Model inputs'!D269&lt;='Model inputs'!O66,IF(OR('Model inputs'!D269="",'Model inputs'!O66=""),"",'Model inputs'!D269&lt;='Model inputs'!O66))),0,IF(IF(IF(ISERROR('Model inputs'!D269&lt;='Model inputs'!O68),'Model inputs'!D269&lt;='Model inputs'!O68,IF(OR('Model inputs'!D269="",'Model inputs'!O68=""),"",'Model inputs'!D269&lt;='Model inputs'!O68))="",FALSE,IF(ISERROR('Model inputs'!D269&lt;='Model inputs'!O68),'Model inputs'!D269&lt;='Model inputs'!O68,IF(OR('Model inputs'!D269="",'Model inputs'!O68=""),"",'Model inputs'!D269&lt;='Model inputs'!O68))),IF('Model inputs'!O69="","",'Model inputs'!O69),'Model inputs'!O69+CEILING(('Model inputs'!D269-'Model inputs'!O68)/100000,1)*'Model inputs'!O67)))</f>
        <v>0</v>
      </c>
      <c r="E195" s="10">
        <f>IF(IF(IF(ISERROR('Model inputs'!O65=1),'Model inputs'!O65=1,IF('Model inputs'!O65="","",'Model inputs'!O65=1))="",FALSE,IF(ISERROR('Model inputs'!O65=1),'Model inputs'!O65=1,IF('Model inputs'!O65="","",'Model inputs'!O65=1))),0,IF(IF(IF(ISERROR('Model inputs'!E269&lt;='Model inputs'!O66),'Model inputs'!E269&lt;='Model inputs'!O66,IF(OR('Model inputs'!E269="",'Model inputs'!O66=""),"",'Model inputs'!E269&lt;='Model inputs'!O66))="",FALSE,IF(ISERROR('Model inputs'!E269&lt;='Model inputs'!O66),'Model inputs'!E269&lt;='Model inputs'!O66,IF(OR('Model inputs'!E269="",'Model inputs'!O66=""),"",'Model inputs'!E269&lt;='Model inputs'!O66))),0,IF(IF(IF(ISERROR('Model inputs'!E269&lt;='Model inputs'!O68),'Model inputs'!E269&lt;='Model inputs'!O68,IF(OR('Model inputs'!E269="",'Model inputs'!O68=""),"",'Model inputs'!E269&lt;='Model inputs'!O68))="",FALSE,IF(ISERROR('Model inputs'!E269&lt;='Model inputs'!O68),'Model inputs'!E269&lt;='Model inputs'!O68,IF(OR('Model inputs'!E269="",'Model inputs'!O68=""),"",'Model inputs'!E269&lt;='Model inputs'!O68))),IF('Model inputs'!O69="","",'Model inputs'!O69),'Model inputs'!O69+CEILING(('Model inputs'!E269-'Model inputs'!O68)/100000,1)*'Model inputs'!O67)))</f>
        <v>0</v>
      </c>
      <c r="F195" s="10">
        <f>IF(IF(IF(ISERROR('Model inputs'!O65=1),'Model inputs'!O65=1,IF('Model inputs'!O65="","",'Model inputs'!O65=1))="",FALSE,IF(ISERROR('Model inputs'!O65=1),'Model inputs'!O65=1,IF('Model inputs'!O65="","",'Model inputs'!O65=1))),0,IF(IF(IF(ISERROR('Model inputs'!F269&lt;='Model inputs'!O66),'Model inputs'!F269&lt;='Model inputs'!O66,IF(OR('Model inputs'!F269="",'Model inputs'!O66=""),"",'Model inputs'!F269&lt;='Model inputs'!O66))="",FALSE,IF(ISERROR('Model inputs'!F269&lt;='Model inputs'!O66),'Model inputs'!F269&lt;='Model inputs'!O66,IF(OR('Model inputs'!F269="",'Model inputs'!O66=""),"",'Model inputs'!F269&lt;='Model inputs'!O66))),0,IF(IF(IF(ISERROR('Model inputs'!F269&lt;='Model inputs'!O68),'Model inputs'!F269&lt;='Model inputs'!O68,IF(OR('Model inputs'!F269="",'Model inputs'!O68=""),"",'Model inputs'!F269&lt;='Model inputs'!O68))="",FALSE,IF(ISERROR('Model inputs'!F269&lt;='Model inputs'!O68),'Model inputs'!F269&lt;='Model inputs'!O68,IF(OR('Model inputs'!F269="",'Model inputs'!O68=""),"",'Model inputs'!F269&lt;='Model inputs'!O68))),IF('Model inputs'!O69="","",'Model inputs'!O69),'Model inputs'!O69+CEILING(('Model inputs'!F269-'Model inputs'!O68)/100000,1)*'Model inputs'!O67)))</f>
        <v>0</v>
      </c>
      <c r="G195" s="10">
        <f>IF(IF(IF(ISERROR('Model inputs'!O65=1),'Model inputs'!O65=1,IF('Model inputs'!O65="","",'Model inputs'!O65=1))="",FALSE,IF(ISERROR('Model inputs'!O65=1),'Model inputs'!O65=1,IF('Model inputs'!O65="","",'Model inputs'!O65=1))),0,IF(IF(IF(ISERROR('Model inputs'!G269&lt;='Model inputs'!O66),'Model inputs'!G269&lt;='Model inputs'!O66,IF(OR('Model inputs'!G269="",'Model inputs'!O66=""),"",'Model inputs'!G269&lt;='Model inputs'!O66))="",FALSE,IF(ISERROR('Model inputs'!G269&lt;='Model inputs'!O66),'Model inputs'!G269&lt;='Model inputs'!O66,IF(OR('Model inputs'!G269="",'Model inputs'!O66=""),"",'Model inputs'!G269&lt;='Model inputs'!O66))),0,IF(IF(IF(ISERROR('Model inputs'!G269&lt;='Model inputs'!O68),'Model inputs'!G269&lt;='Model inputs'!O68,IF(OR('Model inputs'!G269="",'Model inputs'!O68=""),"",'Model inputs'!G269&lt;='Model inputs'!O68))="",FALSE,IF(ISERROR('Model inputs'!G269&lt;='Model inputs'!O68),'Model inputs'!G269&lt;='Model inputs'!O68,IF(OR('Model inputs'!G269="",'Model inputs'!O68=""),"",'Model inputs'!G269&lt;='Model inputs'!O68))),IF('Model inputs'!O69="","",'Model inputs'!O69),'Model inputs'!O69+CEILING(('Model inputs'!G269-'Model inputs'!O68)/100000,1)*'Model inputs'!O67)))</f>
        <v>0</v>
      </c>
      <c r="H195" s="10">
        <f>IF(IF(IF(ISERROR('Model inputs'!O65=1),'Model inputs'!O65=1,IF('Model inputs'!O65="","",'Model inputs'!O65=1))="",FALSE,IF(ISERROR('Model inputs'!O65=1),'Model inputs'!O65=1,IF('Model inputs'!O65="","",'Model inputs'!O65=1))),0,IF(IF(IF(ISERROR('Model inputs'!H269&lt;='Model inputs'!O66),'Model inputs'!H269&lt;='Model inputs'!O66,IF(OR('Model inputs'!H269="",'Model inputs'!O66=""),"",'Model inputs'!H269&lt;='Model inputs'!O66))="",FALSE,IF(ISERROR('Model inputs'!H269&lt;='Model inputs'!O66),'Model inputs'!H269&lt;='Model inputs'!O66,IF(OR('Model inputs'!H269="",'Model inputs'!O66=""),"",'Model inputs'!H269&lt;='Model inputs'!O66))),0,IF(IF(IF(ISERROR('Model inputs'!H269&lt;='Model inputs'!O68),'Model inputs'!H269&lt;='Model inputs'!O68,IF(OR('Model inputs'!H269="",'Model inputs'!O68=""),"",'Model inputs'!H269&lt;='Model inputs'!O68))="",FALSE,IF(ISERROR('Model inputs'!H269&lt;='Model inputs'!O68),'Model inputs'!H269&lt;='Model inputs'!O68,IF(OR('Model inputs'!H269="",'Model inputs'!O68=""),"",'Model inputs'!H269&lt;='Model inputs'!O68))),IF('Model inputs'!O69="","",'Model inputs'!O69),'Model inputs'!O69+CEILING(('Model inputs'!H269-'Model inputs'!O68)/100000,1)*'Model inputs'!O67)))</f>
        <v>0</v>
      </c>
    </row>
    <row r="196">
      <c r="A196" t="inlineStr" s="18">
        <is>
          <t xml:space="preserve">neatlogs bill (USD, derived) · Gross profit and margin by plan (monthly) · Main Scenario</t>
        </is>
      </c>
      <c r="B196" s="10">
        <f>IF('Model inputs'!B195="","",'Model inputs'!B195)</f>
        <v>0</v>
      </c>
      <c r="C196" s="10">
        <f>IF('Model inputs'!C195="","",'Model inputs'!C195)</f>
        <v>0</v>
      </c>
      <c r="D196" s="10">
        <f>IF('Model inputs'!D195="","",'Model inputs'!D195)</f>
        <v>0</v>
      </c>
      <c r="E196" s="10">
        <f>IF('Model inputs'!E195="","",'Model inputs'!E195)</f>
        <v>0</v>
      </c>
      <c r="F196" s="10">
        <f>IF('Model inputs'!F195="","",'Model inputs'!F195)</f>
        <v>0</v>
      </c>
      <c r="G196" s="10">
        <f>IF('Model inputs'!G195="","",'Model inputs'!G195)</f>
        <v>0</v>
      </c>
      <c r="H196" s="10">
        <f>IF('Model inputs'!H195="","",'Model inputs'!H195)</f>
        <v>0</v>
      </c>
      <c r="I196" s="10">
        <f>IF(IF(IF(ISERROR('Model inputs'!O65=1),'Model inputs'!O65=1,IF('Model inputs'!O65="","",'Model inputs'!O65=1))="",FALSE,IF(ISERROR('Model inputs'!O65=1),'Model inputs'!O65=1,IF('Model inputs'!O65="","",'Model inputs'!O65=1))),0,IF(IF(IF(ISERROR('Model inputs'!I269&lt;='Model inputs'!O66),'Model inputs'!I269&lt;='Model inputs'!O66,IF(OR('Model inputs'!I269="",'Model inputs'!O66=""),"",'Model inputs'!I269&lt;='Model inputs'!O66))="",FALSE,IF(ISERROR('Model inputs'!I269&lt;='Model inputs'!O66),'Model inputs'!I269&lt;='Model inputs'!O66,IF(OR('Model inputs'!I269="",'Model inputs'!O66=""),"",'Model inputs'!I269&lt;='Model inputs'!O66))),0,IF(IF(IF(ISERROR('Model inputs'!I269&lt;='Model inputs'!O68),'Model inputs'!I269&lt;='Model inputs'!O68,IF(OR('Model inputs'!I269="",'Model inputs'!O68=""),"",'Model inputs'!I269&lt;='Model inputs'!O68))="",FALSE,IF(ISERROR('Model inputs'!I269&lt;='Model inputs'!O68),'Model inputs'!I269&lt;='Model inputs'!O68,IF(OR('Model inputs'!I269="",'Model inputs'!O68=""),"",'Model inputs'!I269&lt;='Model inputs'!O68))),IF('Model inputs'!O69="","",'Model inputs'!O69),'Model inputs'!O69+CEILING(('Model inputs'!I269-'Model inputs'!O68)/100000,1)*'Model inputs'!O67)))</f>
        <v>0</v>
      </c>
      <c r="J196" s="10">
        <f>IF(IF(IF(ISERROR('Model inputs'!O65=1),'Model inputs'!O65=1,IF('Model inputs'!O65="","",'Model inputs'!O65=1))="",FALSE,IF(ISERROR('Model inputs'!O65=1),'Model inputs'!O65=1,IF('Model inputs'!O65="","",'Model inputs'!O65=1))),0,IF(IF(IF(ISERROR('Model inputs'!J269&lt;='Model inputs'!O66),'Model inputs'!J269&lt;='Model inputs'!O66,IF(OR('Model inputs'!J269="",'Model inputs'!O66=""),"",'Model inputs'!J269&lt;='Model inputs'!O66))="",FALSE,IF(ISERROR('Model inputs'!J269&lt;='Model inputs'!O66),'Model inputs'!J269&lt;='Model inputs'!O66,IF(OR('Model inputs'!J269="",'Model inputs'!O66=""),"",'Model inputs'!J269&lt;='Model inputs'!O66))),0,IF(IF(IF(ISERROR('Model inputs'!J269&lt;='Model inputs'!O68),'Model inputs'!J269&lt;='Model inputs'!O68,IF(OR('Model inputs'!J269="",'Model inputs'!O68=""),"",'Model inputs'!J269&lt;='Model inputs'!O68))="",FALSE,IF(ISERROR('Model inputs'!J269&lt;='Model inputs'!O68),'Model inputs'!J269&lt;='Model inputs'!O68,IF(OR('Model inputs'!J269="",'Model inputs'!O68=""),"",'Model inputs'!J269&lt;='Model inputs'!O68))),IF('Model inputs'!O69="","",'Model inputs'!O69),'Model inputs'!O69+CEILING(('Model inputs'!J269-'Model inputs'!O68)/100000,1)*'Model inputs'!O67)))</f>
        <v>0</v>
      </c>
      <c r="K196" s="10">
        <f>IF(IF(IF(ISERROR('Model inputs'!O65=1),'Model inputs'!O65=1,IF('Model inputs'!O65="","",'Model inputs'!O65=1))="",FALSE,IF(ISERROR('Model inputs'!O65=1),'Model inputs'!O65=1,IF('Model inputs'!O65="","",'Model inputs'!O65=1))),0,IF(IF(IF(ISERROR('Model inputs'!K269&lt;='Model inputs'!O66),'Model inputs'!K269&lt;='Model inputs'!O66,IF(OR('Model inputs'!K269="",'Model inputs'!O66=""),"",'Model inputs'!K269&lt;='Model inputs'!O66))="",FALSE,IF(ISERROR('Model inputs'!K269&lt;='Model inputs'!O66),'Model inputs'!K269&lt;='Model inputs'!O66,IF(OR('Model inputs'!K269="",'Model inputs'!O66=""),"",'Model inputs'!K269&lt;='Model inputs'!O66))),0,IF(IF(IF(ISERROR('Model inputs'!K269&lt;='Model inputs'!O68),'Model inputs'!K269&lt;='Model inputs'!O68,IF(OR('Model inputs'!K269="",'Model inputs'!O68=""),"",'Model inputs'!K269&lt;='Model inputs'!O68))="",FALSE,IF(ISERROR('Model inputs'!K269&lt;='Model inputs'!O68),'Model inputs'!K269&lt;='Model inputs'!O68,IF(OR('Model inputs'!K269="",'Model inputs'!O68=""),"",'Model inputs'!K269&lt;='Model inputs'!O68))),IF('Model inputs'!O69="","",'Model inputs'!O69),'Model inputs'!O69+CEILING(('Model inputs'!K269-'Model inputs'!O68)/100000,1)*'Model inputs'!O67)))</f>
        <v>0</v>
      </c>
      <c r="L196" s="10">
        <f>IF(IF(IF(ISERROR('Model inputs'!O65=1),'Model inputs'!O65=1,IF('Model inputs'!O65="","",'Model inputs'!O65=1))="",FALSE,IF(ISERROR('Model inputs'!O65=1),'Model inputs'!O65=1,IF('Model inputs'!O65="","",'Model inputs'!O65=1))),0,IF(IF(IF(ISERROR('Model inputs'!L269&lt;='Model inputs'!O66),'Model inputs'!L269&lt;='Model inputs'!O66,IF(OR('Model inputs'!L269="",'Model inputs'!O66=""),"",'Model inputs'!L269&lt;='Model inputs'!O66))="",FALSE,IF(ISERROR('Model inputs'!L269&lt;='Model inputs'!O66),'Model inputs'!L269&lt;='Model inputs'!O66,IF(OR('Model inputs'!L269="",'Model inputs'!O66=""),"",'Model inputs'!L269&lt;='Model inputs'!O66))),0,IF(IF(IF(ISERROR('Model inputs'!L269&lt;='Model inputs'!O68),'Model inputs'!L269&lt;='Model inputs'!O68,IF(OR('Model inputs'!L269="",'Model inputs'!O68=""),"",'Model inputs'!L269&lt;='Model inputs'!O68))="",FALSE,IF(ISERROR('Model inputs'!L269&lt;='Model inputs'!O68),'Model inputs'!L269&lt;='Model inputs'!O68,IF(OR('Model inputs'!L269="",'Model inputs'!O68=""),"",'Model inputs'!L269&lt;='Model inputs'!O68))),IF('Model inputs'!O69="","",'Model inputs'!O69),'Model inputs'!O69+CEILING(('Model inputs'!L269-'Model inputs'!O68)/100000,1)*'Model inputs'!O67)))</f>
        <v>0</v>
      </c>
      <c r="M196" s="10">
        <f>IF(IF(IF(ISERROR('Model inputs'!O65=1),'Model inputs'!O65=1,IF('Model inputs'!O65="","",'Model inputs'!O65=1))="",FALSE,IF(ISERROR('Model inputs'!O65=1),'Model inputs'!O65=1,IF('Model inputs'!O65="","",'Model inputs'!O65=1))),0,IF(IF(IF(ISERROR('Model inputs'!M269&lt;='Model inputs'!O66),'Model inputs'!M269&lt;='Model inputs'!O66,IF(OR('Model inputs'!M269="",'Model inputs'!O66=""),"",'Model inputs'!M269&lt;='Model inputs'!O66))="",FALSE,IF(ISERROR('Model inputs'!M269&lt;='Model inputs'!O66),'Model inputs'!M269&lt;='Model inputs'!O66,IF(OR('Model inputs'!M269="",'Model inputs'!O66=""),"",'Model inputs'!M269&lt;='Model inputs'!O66))),0,IF(IF(IF(ISERROR('Model inputs'!M269&lt;='Model inputs'!O68),'Model inputs'!M269&lt;='Model inputs'!O68,IF(OR('Model inputs'!M269="",'Model inputs'!O68=""),"",'Model inputs'!M269&lt;='Model inputs'!O68))="",FALSE,IF(ISERROR('Model inputs'!M269&lt;='Model inputs'!O68),'Model inputs'!M269&lt;='Model inputs'!O68,IF(OR('Model inputs'!M269="",'Model inputs'!O68=""),"",'Model inputs'!M269&lt;='Model inputs'!O68))),IF('Model inputs'!O69="","",'Model inputs'!O69),'Model inputs'!O69+CEILING(('Model inputs'!M269-'Model inputs'!O68)/100000,1)*'Model inputs'!O67)))</f>
        <v>0</v>
      </c>
      <c r="N196" s="10">
        <f>IF(IF(IF(ISERROR('Model inputs'!O65=1),'Model inputs'!O65=1,IF('Model inputs'!O65="","",'Model inputs'!O65=1))="",FALSE,IF(ISERROR('Model inputs'!O65=1),'Model inputs'!O65=1,IF('Model inputs'!O65="","",'Model inputs'!O65=1))),0,IF(IF(IF(ISERROR('Model inputs'!N269&lt;='Model inputs'!O66),'Model inputs'!N269&lt;='Model inputs'!O66,IF(OR('Model inputs'!N269="",'Model inputs'!O66=""),"",'Model inputs'!N269&lt;='Model inputs'!O66))="",FALSE,IF(ISERROR('Model inputs'!N269&lt;='Model inputs'!O66),'Model inputs'!N269&lt;='Model inputs'!O66,IF(OR('Model inputs'!N269="",'Model inputs'!O66=""),"",'Model inputs'!N269&lt;='Model inputs'!O66))),0,IF(IF(IF(ISERROR('Model inputs'!N269&lt;='Model inputs'!O68),'Model inputs'!N269&lt;='Model inputs'!O68,IF(OR('Model inputs'!N269="",'Model inputs'!O68=""),"",'Model inputs'!N269&lt;='Model inputs'!O68))="",FALSE,IF(ISERROR('Model inputs'!N269&lt;='Model inputs'!O68),'Model inputs'!N269&lt;='Model inputs'!O68,IF(OR('Model inputs'!N269="",'Model inputs'!O68=""),"",'Model inputs'!N269&lt;='Model inputs'!O68))),IF('Model inputs'!O69="","",'Model inputs'!O69),'Model inputs'!O69+CEILING(('Model inputs'!N269-'Model inputs'!O68)/100000,1)*'Model inputs'!O67)))</f>
        <v>0</v>
      </c>
    </row>
    <row r="197">
      <c r="A197" t="inlineStr" s="18">
        <is>
          <t xml:space="preserve">neatlogs bill (USD, derived) · Ending cash (USD) · Downside · Downside</t>
        </is>
      </c>
      <c r="B197" s="10">
        <v>0</v>
      </c>
      <c r="C197" s="10">
        <f>IF(IF(IF(ISERROR('Model inputs'!O274=1),'Model inputs'!O274=1,IF('Model inputs'!O274="","",'Model inputs'!O274=1))="",FALSE,IF(ISERROR('Model inputs'!O274=1),'Model inputs'!O274=1,IF('Model inputs'!O274="","",'Model inputs'!O274=1))),0,IF(IF(IF(ISERROR('Model inputs'!C311&lt;='Model inputs'!O276),'Model inputs'!C311&lt;='Model inputs'!O276,IF(OR('Model inputs'!C311="",'Model inputs'!O276=""),"",'Model inputs'!C311&lt;='Model inputs'!O276))="",FALSE,IF(ISERROR('Model inputs'!C311&lt;='Model inputs'!O276),'Model inputs'!C311&lt;='Model inputs'!O276,IF(OR('Model inputs'!C311="",'Model inputs'!O276=""),"",'Model inputs'!C311&lt;='Model inputs'!O276))),0,IF(IF(IF(ISERROR('Model inputs'!C311&lt;='Model inputs'!O280),'Model inputs'!C311&lt;='Model inputs'!O280,IF(OR('Model inputs'!C311="",'Model inputs'!O280=""),"",'Model inputs'!C311&lt;='Model inputs'!O280))="",FALSE,IF(ISERROR('Model inputs'!C311&lt;='Model inputs'!O280),'Model inputs'!C311&lt;='Model inputs'!O280,IF(OR('Model inputs'!C311="",'Model inputs'!O280=""),"",'Model inputs'!C311&lt;='Model inputs'!O280))),IF('Model inputs'!O282="","",'Model inputs'!O282),'Model inputs'!O282+CEILING(('Model inputs'!C311-'Model inputs'!O280)/100000,1)*'Model inputs'!O278)))</f>
        <v>0</v>
      </c>
      <c r="D197" s="10">
        <f>IF(IF(IF(ISERROR('Model inputs'!O274=1),'Model inputs'!O274=1,IF('Model inputs'!O274="","",'Model inputs'!O274=1))="",FALSE,IF(ISERROR('Model inputs'!O274=1),'Model inputs'!O274=1,IF('Model inputs'!O274="","",'Model inputs'!O274=1))),0,IF(IF(IF(ISERROR('Model inputs'!D311&lt;='Model inputs'!O276),'Model inputs'!D311&lt;='Model inputs'!O276,IF(OR('Model inputs'!D311="",'Model inputs'!O276=""),"",'Model inputs'!D311&lt;='Model inputs'!O276))="",FALSE,IF(ISERROR('Model inputs'!D311&lt;='Model inputs'!O276),'Model inputs'!D311&lt;='Model inputs'!O276,IF(OR('Model inputs'!D311="",'Model inputs'!O276=""),"",'Model inputs'!D311&lt;='Model inputs'!O276))),0,IF(IF(IF(ISERROR('Model inputs'!D311&lt;='Model inputs'!O280),'Model inputs'!D311&lt;='Model inputs'!O280,IF(OR('Model inputs'!D311="",'Model inputs'!O280=""),"",'Model inputs'!D311&lt;='Model inputs'!O280))="",FALSE,IF(ISERROR('Model inputs'!D311&lt;='Model inputs'!O280),'Model inputs'!D311&lt;='Model inputs'!O280,IF(OR('Model inputs'!D311="",'Model inputs'!O280=""),"",'Model inputs'!D311&lt;='Model inputs'!O280))),IF('Model inputs'!O282="","",'Model inputs'!O282),'Model inputs'!O282+CEILING(('Model inputs'!D311-'Model inputs'!O280)/100000,1)*'Model inputs'!O278)))</f>
        <v>0</v>
      </c>
      <c r="E197" s="10">
        <f>IF(IF(IF(ISERROR('Model inputs'!O274=1),'Model inputs'!O274=1,IF('Model inputs'!O274="","",'Model inputs'!O274=1))="",FALSE,IF(ISERROR('Model inputs'!O274=1),'Model inputs'!O274=1,IF('Model inputs'!O274="","",'Model inputs'!O274=1))),0,IF(IF(IF(ISERROR('Model inputs'!E311&lt;='Model inputs'!O276),'Model inputs'!E311&lt;='Model inputs'!O276,IF(OR('Model inputs'!E311="",'Model inputs'!O276=""),"",'Model inputs'!E311&lt;='Model inputs'!O276))="",FALSE,IF(ISERROR('Model inputs'!E311&lt;='Model inputs'!O276),'Model inputs'!E311&lt;='Model inputs'!O276,IF(OR('Model inputs'!E311="",'Model inputs'!O276=""),"",'Model inputs'!E311&lt;='Model inputs'!O276))),0,IF(IF(IF(ISERROR('Model inputs'!E311&lt;='Model inputs'!O280),'Model inputs'!E311&lt;='Model inputs'!O280,IF(OR('Model inputs'!E311="",'Model inputs'!O280=""),"",'Model inputs'!E311&lt;='Model inputs'!O280))="",FALSE,IF(ISERROR('Model inputs'!E311&lt;='Model inputs'!O280),'Model inputs'!E311&lt;='Model inputs'!O280,IF(OR('Model inputs'!E311="",'Model inputs'!O280=""),"",'Model inputs'!E311&lt;='Model inputs'!O280))),IF('Model inputs'!O282="","",'Model inputs'!O282),'Model inputs'!O282+CEILING(('Model inputs'!E311-'Model inputs'!O280)/100000,1)*'Model inputs'!O278)))</f>
        <v>0</v>
      </c>
      <c r="F197" s="10">
        <f>IF(IF(IF(ISERROR('Model inputs'!O274=1),'Model inputs'!O274=1,IF('Model inputs'!O274="","",'Model inputs'!O274=1))="",FALSE,IF(ISERROR('Model inputs'!O274=1),'Model inputs'!O274=1,IF('Model inputs'!O274="","",'Model inputs'!O274=1))),0,IF(IF(IF(ISERROR('Model inputs'!F311&lt;='Model inputs'!O276),'Model inputs'!F311&lt;='Model inputs'!O276,IF(OR('Model inputs'!F311="",'Model inputs'!O276=""),"",'Model inputs'!F311&lt;='Model inputs'!O276))="",FALSE,IF(ISERROR('Model inputs'!F311&lt;='Model inputs'!O276),'Model inputs'!F311&lt;='Model inputs'!O276,IF(OR('Model inputs'!F311="",'Model inputs'!O276=""),"",'Model inputs'!F311&lt;='Model inputs'!O276))),0,IF(IF(IF(ISERROR('Model inputs'!F311&lt;='Model inputs'!O280),'Model inputs'!F311&lt;='Model inputs'!O280,IF(OR('Model inputs'!F311="",'Model inputs'!O280=""),"",'Model inputs'!F311&lt;='Model inputs'!O280))="",FALSE,IF(ISERROR('Model inputs'!F311&lt;='Model inputs'!O280),'Model inputs'!F311&lt;='Model inputs'!O280,IF(OR('Model inputs'!F311="",'Model inputs'!O280=""),"",'Model inputs'!F311&lt;='Model inputs'!O280))),IF('Model inputs'!O282="","",'Model inputs'!O282),'Model inputs'!O282+CEILING(('Model inputs'!F311-'Model inputs'!O280)/100000,1)*'Model inputs'!O278)))</f>
        <v>0</v>
      </c>
      <c r="G197" s="10">
        <f>IF(IF(IF(ISERROR('Model inputs'!O274=1),'Model inputs'!O274=1,IF('Model inputs'!O274="","",'Model inputs'!O274=1))="",FALSE,IF(ISERROR('Model inputs'!O274=1),'Model inputs'!O274=1,IF('Model inputs'!O274="","",'Model inputs'!O274=1))),0,IF(IF(IF(ISERROR('Model inputs'!G311&lt;='Model inputs'!O276),'Model inputs'!G311&lt;='Model inputs'!O276,IF(OR('Model inputs'!G311="",'Model inputs'!O276=""),"",'Model inputs'!G311&lt;='Model inputs'!O276))="",FALSE,IF(ISERROR('Model inputs'!G311&lt;='Model inputs'!O276),'Model inputs'!G311&lt;='Model inputs'!O276,IF(OR('Model inputs'!G311="",'Model inputs'!O276=""),"",'Model inputs'!G311&lt;='Model inputs'!O276))),0,IF(IF(IF(ISERROR('Model inputs'!G311&lt;='Model inputs'!O280),'Model inputs'!G311&lt;='Model inputs'!O280,IF(OR('Model inputs'!G311="",'Model inputs'!O280=""),"",'Model inputs'!G311&lt;='Model inputs'!O280))="",FALSE,IF(ISERROR('Model inputs'!G311&lt;='Model inputs'!O280),'Model inputs'!G311&lt;='Model inputs'!O280,IF(OR('Model inputs'!G311="",'Model inputs'!O280=""),"",'Model inputs'!G311&lt;='Model inputs'!O280))),IF('Model inputs'!O282="","",'Model inputs'!O282),'Model inputs'!O282+CEILING(('Model inputs'!G311-'Model inputs'!O280)/100000,1)*'Model inputs'!O278)))</f>
        <v>0</v>
      </c>
      <c r="H197" s="10">
        <f>IF(IF(IF(ISERROR('Model inputs'!O274=1),'Model inputs'!O274=1,IF('Model inputs'!O274="","",'Model inputs'!O274=1))="",FALSE,IF(ISERROR('Model inputs'!O274=1),'Model inputs'!O274=1,IF('Model inputs'!O274="","",'Model inputs'!O274=1))),0,IF(IF(IF(ISERROR('Model inputs'!H311&lt;='Model inputs'!O276),'Model inputs'!H311&lt;='Model inputs'!O276,IF(OR('Model inputs'!H311="",'Model inputs'!O276=""),"",'Model inputs'!H311&lt;='Model inputs'!O276))="",FALSE,IF(ISERROR('Model inputs'!H311&lt;='Model inputs'!O276),'Model inputs'!H311&lt;='Model inputs'!O276,IF(OR('Model inputs'!H311="",'Model inputs'!O276=""),"",'Model inputs'!H311&lt;='Model inputs'!O276))),0,IF(IF(IF(ISERROR('Model inputs'!H311&lt;='Model inputs'!O280),'Model inputs'!H311&lt;='Model inputs'!O280,IF(OR('Model inputs'!H311="",'Model inputs'!O280=""),"",'Model inputs'!H311&lt;='Model inputs'!O280))="",FALSE,IF(ISERROR('Model inputs'!H311&lt;='Model inputs'!O280),'Model inputs'!H311&lt;='Model inputs'!O280,IF(OR('Model inputs'!H311="",'Model inputs'!O280=""),"",'Model inputs'!H311&lt;='Model inputs'!O280))),IF('Model inputs'!O282="","",'Model inputs'!O282),'Model inputs'!O282+CEILING(('Model inputs'!H311-'Model inputs'!O280)/100000,1)*'Model inputs'!O278)))</f>
        <v>0</v>
      </c>
    </row>
    <row r="198">
      <c r="A198" t="inlineStr" s="18">
        <is>
          <t xml:space="preserve">neatlogs bill (USD, derived) · Ending cash (USD) · Growth · Growth</t>
        </is>
      </c>
      <c r="B198" s="10">
        <v>0</v>
      </c>
      <c r="C198" s="10">
        <f>IF(IF(IF(ISERROR('Model inputs'!O275=1),'Model inputs'!O275=1,IF('Model inputs'!O275="","",'Model inputs'!O275=1))="",FALSE,IF(ISERROR('Model inputs'!O275=1),'Model inputs'!O275=1,IF('Model inputs'!O275="","",'Model inputs'!O275=1))),0,IF(IF(IF(ISERROR('Model inputs'!C312&lt;='Model inputs'!O277),'Model inputs'!C312&lt;='Model inputs'!O277,IF(OR('Model inputs'!C312="",'Model inputs'!O277=""),"",'Model inputs'!C312&lt;='Model inputs'!O277))="",FALSE,IF(ISERROR('Model inputs'!C312&lt;='Model inputs'!O277),'Model inputs'!C312&lt;='Model inputs'!O277,IF(OR('Model inputs'!C312="",'Model inputs'!O277=""),"",'Model inputs'!C312&lt;='Model inputs'!O277))),0,IF(IF(IF(ISERROR('Model inputs'!C312&lt;='Model inputs'!O281),'Model inputs'!C312&lt;='Model inputs'!O281,IF(OR('Model inputs'!C312="",'Model inputs'!O281=""),"",'Model inputs'!C312&lt;='Model inputs'!O281))="",FALSE,IF(ISERROR('Model inputs'!C312&lt;='Model inputs'!O281),'Model inputs'!C312&lt;='Model inputs'!O281,IF(OR('Model inputs'!C312="",'Model inputs'!O281=""),"",'Model inputs'!C312&lt;='Model inputs'!O281))),IF('Model inputs'!O283="","",'Model inputs'!O283),'Model inputs'!O283+CEILING(('Model inputs'!C312-'Model inputs'!O281)/100000,1)*'Model inputs'!O279)))</f>
        <v>0</v>
      </c>
      <c r="D198" s="10">
        <f>IF(IF(IF(ISERROR('Model inputs'!O275=1),'Model inputs'!O275=1,IF('Model inputs'!O275="","",'Model inputs'!O275=1))="",FALSE,IF(ISERROR('Model inputs'!O275=1),'Model inputs'!O275=1,IF('Model inputs'!O275="","",'Model inputs'!O275=1))),0,IF(IF(IF(ISERROR('Model inputs'!D312&lt;='Model inputs'!O277),'Model inputs'!D312&lt;='Model inputs'!O277,IF(OR('Model inputs'!D312="",'Model inputs'!O277=""),"",'Model inputs'!D312&lt;='Model inputs'!O277))="",FALSE,IF(ISERROR('Model inputs'!D312&lt;='Model inputs'!O277),'Model inputs'!D312&lt;='Model inputs'!O277,IF(OR('Model inputs'!D312="",'Model inputs'!O277=""),"",'Model inputs'!D312&lt;='Model inputs'!O277))),0,IF(IF(IF(ISERROR('Model inputs'!D312&lt;='Model inputs'!O281),'Model inputs'!D312&lt;='Model inputs'!O281,IF(OR('Model inputs'!D312="",'Model inputs'!O281=""),"",'Model inputs'!D312&lt;='Model inputs'!O281))="",FALSE,IF(ISERROR('Model inputs'!D312&lt;='Model inputs'!O281),'Model inputs'!D312&lt;='Model inputs'!O281,IF(OR('Model inputs'!D312="",'Model inputs'!O281=""),"",'Model inputs'!D312&lt;='Model inputs'!O281))),IF('Model inputs'!O283="","",'Model inputs'!O283),'Model inputs'!O283+CEILING(('Model inputs'!D312-'Model inputs'!O281)/100000,1)*'Model inputs'!O279)))</f>
        <v>0</v>
      </c>
      <c r="E198" s="10">
        <f>IF(IF(IF(ISERROR('Model inputs'!O275=1),'Model inputs'!O275=1,IF('Model inputs'!O275="","",'Model inputs'!O275=1))="",FALSE,IF(ISERROR('Model inputs'!O275=1),'Model inputs'!O275=1,IF('Model inputs'!O275="","",'Model inputs'!O275=1))),0,IF(IF(IF(ISERROR('Model inputs'!E312&lt;='Model inputs'!O277),'Model inputs'!E312&lt;='Model inputs'!O277,IF(OR('Model inputs'!E312="",'Model inputs'!O277=""),"",'Model inputs'!E312&lt;='Model inputs'!O277))="",FALSE,IF(ISERROR('Model inputs'!E312&lt;='Model inputs'!O277),'Model inputs'!E312&lt;='Model inputs'!O277,IF(OR('Model inputs'!E312="",'Model inputs'!O277=""),"",'Model inputs'!E312&lt;='Model inputs'!O277))),0,IF(IF(IF(ISERROR('Model inputs'!E312&lt;='Model inputs'!O281),'Model inputs'!E312&lt;='Model inputs'!O281,IF(OR('Model inputs'!E312="",'Model inputs'!O281=""),"",'Model inputs'!E312&lt;='Model inputs'!O281))="",FALSE,IF(ISERROR('Model inputs'!E312&lt;='Model inputs'!O281),'Model inputs'!E312&lt;='Model inputs'!O281,IF(OR('Model inputs'!E312="",'Model inputs'!O281=""),"",'Model inputs'!E312&lt;='Model inputs'!O281))),IF('Model inputs'!O283="","",'Model inputs'!O283),'Model inputs'!O283+CEILING(('Model inputs'!E312-'Model inputs'!O281)/100000,1)*'Model inputs'!O279)))</f>
        <v>0</v>
      </c>
      <c r="F198" s="10">
        <f>IF(IF(IF(ISERROR('Model inputs'!O275=1),'Model inputs'!O275=1,IF('Model inputs'!O275="","",'Model inputs'!O275=1))="",FALSE,IF(ISERROR('Model inputs'!O275=1),'Model inputs'!O275=1,IF('Model inputs'!O275="","",'Model inputs'!O275=1))),0,IF(IF(IF(ISERROR('Model inputs'!F312&lt;='Model inputs'!O277),'Model inputs'!F312&lt;='Model inputs'!O277,IF(OR('Model inputs'!F312="",'Model inputs'!O277=""),"",'Model inputs'!F312&lt;='Model inputs'!O277))="",FALSE,IF(ISERROR('Model inputs'!F312&lt;='Model inputs'!O277),'Model inputs'!F312&lt;='Model inputs'!O277,IF(OR('Model inputs'!F312="",'Model inputs'!O277=""),"",'Model inputs'!F312&lt;='Model inputs'!O277))),0,IF(IF(IF(ISERROR('Model inputs'!F312&lt;='Model inputs'!O281),'Model inputs'!F312&lt;='Model inputs'!O281,IF(OR('Model inputs'!F312="",'Model inputs'!O281=""),"",'Model inputs'!F312&lt;='Model inputs'!O281))="",FALSE,IF(ISERROR('Model inputs'!F312&lt;='Model inputs'!O281),'Model inputs'!F312&lt;='Model inputs'!O281,IF(OR('Model inputs'!F312="",'Model inputs'!O281=""),"",'Model inputs'!F312&lt;='Model inputs'!O281))),IF('Model inputs'!O283="","",'Model inputs'!O283),'Model inputs'!O283+CEILING(('Model inputs'!F312-'Model inputs'!O281)/100000,1)*'Model inputs'!O279)))</f>
        <v>0</v>
      </c>
      <c r="G198" s="10">
        <f>IF(IF(IF(ISERROR('Model inputs'!O275=1),'Model inputs'!O275=1,IF('Model inputs'!O275="","",'Model inputs'!O275=1))="",FALSE,IF(ISERROR('Model inputs'!O275=1),'Model inputs'!O275=1,IF('Model inputs'!O275="","",'Model inputs'!O275=1))),0,IF(IF(IF(ISERROR('Model inputs'!G312&lt;='Model inputs'!O277),'Model inputs'!G312&lt;='Model inputs'!O277,IF(OR('Model inputs'!G312="",'Model inputs'!O277=""),"",'Model inputs'!G312&lt;='Model inputs'!O277))="",FALSE,IF(ISERROR('Model inputs'!G312&lt;='Model inputs'!O277),'Model inputs'!G312&lt;='Model inputs'!O277,IF(OR('Model inputs'!G312="",'Model inputs'!O277=""),"",'Model inputs'!G312&lt;='Model inputs'!O277))),0,IF(IF(IF(ISERROR('Model inputs'!G312&lt;='Model inputs'!O281),'Model inputs'!G312&lt;='Model inputs'!O281,IF(OR('Model inputs'!G312="",'Model inputs'!O281=""),"",'Model inputs'!G312&lt;='Model inputs'!O281))="",FALSE,IF(ISERROR('Model inputs'!G312&lt;='Model inputs'!O281),'Model inputs'!G312&lt;='Model inputs'!O281,IF(OR('Model inputs'!G312="",'Model inputs'!O281=""),"",'Model inputs'!G312&lt;='Model inputs'!O281))),IF('Model inputs'!O283="","",'Model inputs'!O283),'Model inputs'!O283+CEILING(('Model inputs'!G312-'Model inputs'!O281)/100000,1)*'Model inputs'!O279)))</f>
        <v>0</v>
      </c>
      <c r="H198" s="10">
        <f>IF(IF(IF(ISERROR('Model inputs'!O275=1),'Model inputs'!O275=1,IF('Model inputs'!O275="","",'Model inputs'!O275=1))="",FALSE,IF(ISERROR('Model inputs'!O275=1),'Model inputs'!O275=1,IF('Model inputs'!O275="","",'Model inputs'!O275=1))),0,IF(IF(IF(ISERROR('Model inputs'!H312&lt;='Model inputs'!O277),'Model inputs'!H312&lt;='Model inputs'!O277,IF(OR('Model inputs'!H312="",'Model inputs'!O277=""),"",'Model inputs'!H312&lt;='Model inputs'!O277))="",FALSE,IF(ISERROR('Model inputs'!H312&lt;='Model inputs'!O277),'Model inputs'!H312&lt;='Model inputs'!O277,IF(OR('Model inputs'!H312="",'Model inputs'!O277=""),"",'Model inputs'!H312&lt;='Model inputs'!O277))),0,IF(IF(IF(ISERROR('Model inputs'!H312&lt;='Model inputs'!O281),'Model inputs'!H312&lt;='Model inputs'!O281,IF(OR('Model inputs'!H312="",'Model inputs'!O281=""),"",'Model inputs'!H312&lt;='Model inputs'!O281))="",FALSE,IF(ISERROR('Model inputs'!H312&lt;='Model inputs'!O281),'Model inputs'!H312&lt;='Model inputs'!O281,IF(OR('Model inputs'!H312="",'Model inputs'!O281=""),"",'Model inputs'!H312&lt;='Model inputs'!O281))),IF('Model inputs'!O283="","",'Model inputs'!O283),'Model inputs'!O283+CEILING(('Model inputs'!H312-'Model inputs'!O281)/100000,1)*'Model inputs'!O279)))</f>
        <v>0</v>
      </c>
    </row>
    <row r="199">
      <c r="A199" t="inlineStr" s="18">
        <is>
          <t xml:space="preserve">Net cash flow (USD) · Unit economics by plan, month 6 (Main vs Growth vs Downside) · Main Scenario</t>
        </is>
      </c>
      <c r="B199" s="10">
        <v>0</v>
      </c>
      <c r="C199" s="10">
        <f>'Model inputs'!C137-'Model inputs'!C208</f>
        <v>359.494696</v>
      </c>
      <c r="D199" s="10">
        <f>'Model inputs'!D137-'Model inputs'!D208</f>
        <v>395.84389032</v>
      </c>
      <c r="E199" s="10">
        <f>'Model inputs'!E137-'Model inputs'!E208</f>
        <v>429.87065079440004</v>
      </c>
      <c r="F199" s="10">
        <f>'Model inputs'!F137-'Model inputs'!F208</f>
        <v>461.743207079848</v>
      </c>
      <c r="G199" s="10">
        <f>'Model inputs'!G137-'Model inputs'!G208</f>
        <v>491.61685741199017</v>
      </c>
      <c r="H199" s="10">
        <f>IF('Model inputs'!H70="","",'Model inputs'!H70)</f>
        <v>519.6349873106051</v>
      </c>
    </row>
    <row r="200">
      <c r="A200" t="inlineStr" s="18">
        <is>
          <t xml:space="preserve">Net cash flow (USD) · Unit economics by plan, month 6 (Main vs Growth vs Downside) · Downside</t>
        </is>
      </c>
      <c r="B200" s="10">
        <v>0</v>
      </c>
      <c r="C200" s="10">
        <f>'Model inputs'!C172-'Model inputs'!C209</f>
        <v>190.47424</v>
      </c>
      <c r="D200" s="10">
        <f>'Model inputs'!D172-'Model inputs'!D209</f>
        <v>200.8759200000001</v>
      </c>
      <c r="E200" s="10">
        <f>'Model inputs'!E172-'Model inputs'!E209</f>
        <v>209.97608863999994</v>
      </c>
      <c r="F200" s="10">
        <f>'Model inputs'!F172-'Model inputs'!F209</f>
        <v>217.95444818560009</v>
      </c>
      <c r="G200" s="10">
        <f>'Model inputs'!G172-'Model inputs'!G209</f>
        <v>224.96467702886406</v>
      </c>
      <c r="H200" s="10">
        <f>IF('Model inputs'!H71="","",'Model inputs'!H71)</f>
        <v>231.13827738137223</v>
      </c>
    </row>
    <row r="201">
      <c r="A201" t="inlineStr" s="18">
        <is>
          <t xml:space="preserve">Net cash flow (USD) · Unit economics by plan, month 6 (Main vs Growth vs Downside) · Growth</t>
        </is>
      </c>
      <c r="B201" s="10">
        <v>0</v>
      </c>
      <c r="C201" s="10">
        <f>'Model inputs'!C175-'Model inputs'!C210</f>
        <v>345.394046</v>
      </c>
      <c r="D201" s="10">
        <f>'Model inputs'!D175-'Model inputs'!D210</f>
        <v>436.51843982</v>
      </c>
      <c r="E201" s="10">
        <f>'Model inputs'!E175-'Model inputs'!E210</f>
        <v>521.9699182094</v>
      </c>
      <c r="F201" s="10">
        <f>'Model inputs'!F175-'Model inputs'!F210</f>
        <v>602.1538033203981</v>
      </c>
      <c r="G201" s="10">
        <f>'Model inputs'!G175-'Model inputs'!G210</f>
        <v>677.4444468654835</v>
      </c>
      <c r="H201" s="10">
        <f>IF('Model inputs'!H72="","",'Model inputs'!H72)</f>
        <v>748.187664092641</v>
      </c>
    </row>
    <row r="202">
      <c r="A202" t="inlineStr" s="18">
        <is>
          <t xml:space="preserve">New customers per month (assumed)</t>
        </is>
      </c>
      <c r="O202" s="16">
        <v>0</v>
      </c>
    </row>
    <row r="203" outlineLevel="1">
      <c r="A203" t="inlineStr" s="19">
        <is>
          <t xml:space="preserve">New customers per month (assumed) &gt; Classroom</t>
        </is>
      </c>
      <c r="O203" s="14">
        <f>'Model inputs'!O86</f>
        <v>1</v>
      </c>
    </row>
    <row r="204" outlineLevel="1">
      <c r="A204" t="inlineStr" s="19">
        <is>
          <t xml:space="preserve">New customers per month (assumed) &gt; Household</t>
        </is>
      </c>
      <c r="O204" s="14">
        <f>'Model inputs'!O87</f>
        <v>8</v>
      </c>
    </row>
    <row r="205">
      <c r="A205" t="inlineStr" s="18">
        <is>
          <t xml:space="preserve">New customers per month (assumed)</t>
        </is>
      </c>
      <c r="O205" s="16">
        <v>0</v>
      </c>
    </row>
    <row r="206" outlineLevel="1">
      <c r="A206" t="inlineStr" s="19">
        <is>
          <t xml:space="preserve">New customers per month (assumed) &gt; Classroom</t>
        </is>
      </c>
      <c r="O206" s="14">
        <f>3</f>
        <v>3</v>
      </c>
    </row>
    <row r="207" outlineLevel="1">
      <c r="A207" t="inlineStr" s="19">
        <is>
          <t xml:space="preserve">New customers per month (assumed) &gt; Household</t>
        </is>
      </c>
      <c r="O207" s="14">
        <f>16</f>
        <v>16</v>
      </c>
    </row>
    <row r="208">
      <c r="A208" t="inlineStr" s="18">
        <is>
          <t xml:space="preserve">Other fixed costs (USD) · Net cash flow (USD) · Main Scenario · Main Scenario</t>
        </is>
      </c>
      <c r="B208" s="10">
        <v>0</v>
      </c>
      <c r="C208" s="10">
        <f>IF('Model inputs'!O284="","",'Model inputs'!O284)</f>
        <v>50</v>
      </c>
      <c r="D208" s="10">
        <f>IF('Model inputs'!O284="","",'Model inputs'!O284)</f>
        <v>50</v>
      </c>
      <c r="E208" s="10">
        <f>IF('Model inputs'!O284="","",'Model inputs'!O284)</f>
        <v>50</v>
      </c>
      <c r="F208" s="10">
        <f>IF('Model inputs'!O284="","",'Model inputs'!O284)</f>
        <v>50</v>
      </c>
      <c r="G208" s="10">
        <f>IF('Model inputs'!O284="","",'Model inputs'!O284)</f>
        <v>50</v>
      </c>
      <c r="H208" s="10">
        <f>IF('Model inputs'!O284="","",'Model inputs'!O284)</f>
        <v>50</v>
      </c>
    </row>
    <row r="209">
      <c r="A209" t="inlineStr" s="18">
        <is>
          <t xml:space="preserve">Other fixed costs (USD) · Net cash flow (USD) · Downside · Downside</t>
        </is>
      </c>
      <c r="B209" s="10">
        <v>0</v>
      </c>
      <c r="C209" s="10">
        <f>IF('Model inputs'!O285="","",'Model inputs'!O285)</f>
        <v>50</v>
      </c>
      <c r="D209" s="10">
        <f>IF('Model inputs'!O285="","",'Model inputs'!O285)</f>
        <v>50</v>
      </c>
      <c r="E209" s="10">
        <f>IF('Model inputs'!O285="","",'Model inputs'!O285)</f>
        <v>50</v>
      </c>
      <c r="F209" s="10">
        <f>IF('Model inputs'!O285="","",'Model inputs'!O285)</f>
        <v>50</v>
      </c>
      <c r="G209" s="10">
        <f>IF('Model inputs'!O285="","",'Model inputs'!O285)</f>
        <v>50</v>
      </c>
      <c r="H209" s="10">
        <f>IF('Model inputs'!O285="","",'Model inputs'!O285)</f>
        <v>50</v>
      </c>
    </row>
    <row r="210">
      <c r="A210" t="inlineStr" s="18">
        <is>
          <t xml:space="preserve">Other fixed costs (USD) · Net cash flow (USD) · Growth · Growth</t>
        </is>
      </c>
      <c r="B210" s="10">
        <v>0</v>
      </c>
      <c r="C210" s="10">
        <f>IF('Model inputs'!O286="","",'Model inputs'!O286)</f>
        <v>50</v>
      </c>
      <c r="D210" s="10">
        <f>IF('Model inputs'!O286="","",'Model inputs'!O286)</f>
        <v>50</v>
      </c>
      <c r="E210" s="10">
        <f>IF('Model inputs'!O286="","",'Model inputs'!O286)</f>
        <v>50</v>
      </c>
      <c r="F210" s="10">
        <f>IF('Model inputs'!O286="","",'Model inputs'!O286)</f>
        <v>50</v>
      </c>
      <c r="G210" s="10">
        <f>IF('Model inputs'!O286="","",'Model inputs'!O286)</f>
        <v>50</v>
      </c>
      <c r="H210" s="10">
        <f>IF('Model inputs'!O286="","",'Model inputs'!O286)</f>
        <v>50</v>
      </c>
    </row>
    <row r="211">
      <c r="A211" t="inlineStr" s="18">
        <is>
          <t xml:space="preserve">Overage price per extra story (USD, assumed)</t>
        </is>
      </c>
      <c r="O211" s="22">
        <v>0</v>
      </c>
    </row>
    <row r="212" outlineLevel="1">
      <c r="A212" t="inlineStr" s="19">
        <is>
          <t xml:space="preserve">Overage price per extra story (USD, assumed) &gt; Classroom</t>
        </is>
      </c>
      <c r="O212" s="23">
        <f>'Model inputs'!O89</f>
        <v>0.25</v>
      </c>
    </row>
    <row r="213" outlineLevel="1">
      <c r="A213" t="inlineStr" s="19">
        <is>
          <t xml:space="preserve">Overage price per extra story (USD, assumed) &gt; Household</t>
        </is>
      </c>
      <c r="O213" s="23">
        <f>'Model inputs'!O90</f>
        <v>0.6</v>
      </c>
    </row>
    <row r="214">
      <c r="A214" t="inlineStr" s="18">
        <is>
          <t xml:space="preserve">Overage price per extra story (USD, assumed)</t>
        </is>
      </c>
      <c r="O214" s="22">
        <v>0</v>
      </c>
    </row>
    <row r="215" outlineLevel="1">
      <c r="A215" t="inlineStr" s="19">
        <is>
          <t xml:space="preserve">Overage price per extra story (USD, assumed) &gt; Classroom</t>
        </is>
      </c>
      <c r="O215" s="23">
        <f>'Model inputs'!O89</f>
        <v>0.25</v>
      </c>
    </row>
    <row r="216" outlineLevel="1">
      <c r="A216" t="inlineStr" s="19">
        <is>
          <t xml:space="preserve">Overage price per extra story (USD, assumed) &gt; Household</t>
        </is>
      </c>
      <c r="O216" s="23">
        <f>'Model inputs'!O90</f>
        <v>0.6</v>
      </c>
    </row>
    <row r="217">
      <c r="A217" t="inlineStr" s="18">
        <is>
          <t xml:space="preserve">Price per month (USD, assumed)</t>
        </is>
      </c>
      <c r="O217" s="22">
        <v>0</v>
      </c>
    </row>
    <row r="218" outlineLevel="1">
      <c r="A218" t="inlineStr" s="19">
        <is>
          <t xml:space="preserve">Price per month (USD, assumed) &gt; Classroom</t>
        </is>
      </c>
      <c r="O218" s="23">
        <f>'Model inputs'!O104</f>
        <v>29</v>
      </c>
    </row>
    <row r="219" outlineLevel="1">
      <c r="A219" t="inlineStr" s="19">
        <is>
          <t xml:space="preserve">Price per month (USD, assumed) &gt; Household</t>
        </is>
      </c>
      <c r="O219" s="23">
        <f>'Model inputs'!O105</f>
        <v>6.99</v>
      </c>
    </row>
    <row r="220">
      <c r="A220" t="inlineStr" s="18">
        <is>
          <t xml:space="preserve">Price per month (USD, assumed)</t>
        </is>
      </c>
      <c r="O220" s="22">
        <v>0</v>
      </c>
    </row>
    <row r="221" outlineLevel="1">
      <c r="A221" t="inlineStr" s="19">
        <is>
          <t xml:space="preserve">Price per month (USD, assumed) &gt; Classroom</t>
        </is>
      </c>
      <c r="O221" s="23">
        <f>'Model inputs'!O104</f>
        <v>29</v>
      </c>
    </row>
    <row r="222" outlineLevel="1">
      <c r="A222" t="inlineStr" s="19">
        <is>
          <t xml:space="preserve">Price per month (USD, assumed) &gt; Household</t>
        </is>
      </c>
      <c r="O222" s="23">
        <f>'Model inputs'!O105</f>
        <v>6.99</v>
      </c>
    </row>
    <row r="223">
      <c r="A223" t="inlineStr" s="18">
        <is>
          <t xml:space="preserve">Revenue (USD)</t>
        </is>
      </c>
      <c r="B223" s="9">
        <f>IF('Model inputs'!B131="","",'Model inputs'!B131)</f>
        <v>0</v>
      </c>
      <c r="C223" s="9">
        <f>IF('Model inputs'!C131="","",'Model inputs'!C131)</f>
        <v>595.1800000000001</v>
      </c>
      <c r="D223" s="9">
        <f>IF('Model inputs'!D131="","",'Model inputs'!D131)</f>
        <v>617.9670000000001</v>
      </c>
      <c r="E223" s="9">
        <f>IF('Model inputs'!E131="","",'Model inputs'!E131)</f>
        <v>638.31731</v>
      </c>
      <c r="F223" s="9">
        <f>IF('Model inputs'!F131="","",'Model inputs'!F131)</f>
        <v>656.5375519000002</v>
      </c>
      <c r="G223" s="9">
        <f>IF('Model inputs'!G131="","",'Model inputs'!G131)</f>
        <v>672.891887211</v>
      </c>
      <c r="H223" s="9">
        <f>IF('Model inputs'!H131="","",'Model inputs'!H131)</f>
        <v>687.6081741395901</v>
      </c>
      <c r="I223" s="9">
        <f>SUM('Model inputs'!I224,'Model inputs'!I225)</f>
        <v>700.8832138282771</v>
      </c>
      <c r="J223" s="9">
        <f>SUM('Model inputs'!J224,'Model inputs'!J225)</f>
        <v>712.8872216150837</v>
      </c>
      <c r="K223" s="9">
        <f>SUM('Model inputs'!K224,'Model inputs'!K225)</f>
        <v>723.7676388422062</v>
      </c>
      <c r="L223" s="9">
        <f>SUM('Model inputs'!L224,'Model inputs'!L225)</f>
        <v>733.6523834570974</v>
      </c>
      <c r="M223" s="9">
        <f>SUM('Model inputs'!M224,'Model inputs'!M225)</f>
        <v>742.6526229532815</v>
      </c>
      <c r="N223" s="9">
        <f>SUM('Model inputs'!N224,'Model inputs'!N225)</f>
        <v>750.8651407041532</v>
      </c>
    </row>
    <row r="224" outlineLevel="1">
      <c r="A224" t="inlineStr" s="19">
        <is>
          <t xml:space="preserve">Revenue (USD) &gt; Classroom</t>
        </is>
      </c>
      <c r="B224" s="10">
        <f>IF('Model inputs'!B132="","",'Model inputs'!B132)</f>
        <v>0</v>
      </c>
      <c r="C224" s="10">
        <f>IF('Model inputs'!C132="","",'Model inputs'!C132)</f>
        <v>301.6</v>
      </c>
      <c r="D224" s="10">
        <f>IF('Model inputs'!D132="","",'Model inputs'!D132)</f>
        <v>312.504</v>
      </c>
      <c r="E224" s="10">
        <f>IF('Model inputs'!E132="","",'Model inputs'!E132)</f>
        <v>322.75376</v>
      </c>
      <c r="F224" s="10">
        <f>IF('Model inputs'!F132="","",'Model inputs'!F132)</f>
        <v>332.3885344</v>
      </c>
      <c r="G224" s="10">
        <f>IF('Model inputs'!G132="","",'Model inputs'!G132)</f>
        <v>341.44522233600003</v>
      </c>
      <c r="H224" s="10">
        <f>IF('Model inputs'!H132="","",'Model inputs'!H132)</f>
        <v>349.95850899584</v>
      </c>
      <c r="I224" s="10">
        <f>'Model inputs'!I323+'Model inputs'!I288</f>
        <v>357.96099845608956</v>
      </c>
      <c r="J224" s="10">
        <f>'Model inputs'!J323+'Model inputs'!J288</f>
        <v>365.4833385487242</v>
      </c>
      <c r="K224" s="10">
        <f>'Model inputs'!K323+'Model inputs'!K288</f>
        <v>372.55433823580074</v>
      </c>
      <c r="L224" s="10">
        <f>'Model inputs'!L323+'Model inputs'!L288</f>
        <v>379.2010779416527</v>
      </c>
      <c r="M224" s="10">
        <f>'Model inputs'!M323+'Model inputs'!M288</f>
        <v>385.4490132651535</v>
      </c>
      <c r="N224" s="10">
        <f>'Model inputs'!N323+'Model inputs'!N288</f>
        <v>391.32207246924435</v>
      </c>
    </row>
    <row r="225" outlineLevel="1">
      <c r="A225" t="inlineStr" s="19">
        <is>
          <t xml:space="preserve">Revenue (USD) &gt; Household</t>
        </is>
      </c>
      <c r="B225" s="10">
        <f>IF('Model inputs'!B133="","",'Model inputs'!B133)</f>
        <v>0</v>
      </c>
      <c r="C225" s="10">
        <f>IF('Model inputs'!C133="","",'Model inputs'!C133)</f>
        <v>293.58</v>
      </c>
      <c r="D225" s="10">
        <f>IF('Model inputs'!D133="","",'Model inputs'!D133)</f>
        <v>305.463</v>
      </c>
      <c r="E225" s="10">
        <f>IF('Model inputs'!E133="","",'Model inputs'!E133)</f>
        <v>315.56355</v>
      </c>
      <c r="F225" s="10">
        <f>IF('Model inputs'!F133="","",'Model inputs'!F133)</f>
        <v>324.14901750000007</v>
      </c>
      <c r="G225" s="10">
        <f>IF('Model inputs'!G133="","",'Model inputs'!G133)</f>
        <v>331.44666487500007</v>
      </c>
      <c r="H225" s="10">
        <f>IF('Model inputs'!H133="","",'Model inputs'!H133)</f>
        <v>337.64966514375004</v>
      </c>
      <c r="I225" s="10">
        <f>'Model inputs'!I324+'Model inputs'!I289</f>
        <v>342.92221537218757</v>
      </c>
      <c r="J225" s="10">
        <f>'Model inputs'!J324+'Model inputs'!J289</f>
        <v>347.40388306635947</v>
      </c>
      <c r="K225" s="10">
        <f>'Model inputs'!K324+'Model inputs'!K289</f>
        <v>351.21330060640554</v>
      </c>
      <c r="L225" s="10">
        <f>'Model inputs'!L324+'Model inputs'!L289</f>
        <v>354.4513055154447</v>
      </c>
      <c r="M225" s="10">
        <f>'Model inputs'!M324+'Model inputs'!M289</f>
        <v>357.203609688128</v>
      </c>
      <c r="N225" s="10">
        <f>'Model inputs'!N324+'Model inputs'!N289</f>
        <v>359.5430682349088</v>
      </c>
    </row>
    <row r="226">
      <c r="A226" t="inlineStr" s="18">
        <is>
          <t xml:space="preserve">Revenue (USD)</t>
        </is>
      </c>
      <c r="B226" s="9">
        <f>IF('Model inputs'!B134="","",'Model inputs'!B134)</f>
        <v>0</v>
      </c>
      <c r="C226" s="9">
        <f>IF('Model inputs'!C134="","",'Model inputs'!C134)</f>
        <v>737.372</v>
      </c>
      <c r="D226" s="9">
        <f>IF('Model inputs'!D134="","",'Model inputs'!D134)</f>
        <v>895.63724</v>
      </c>
      <c r="E226" s="9">
        <f>IF('Model inputs'!E134="","",'Model inputs'!E134)</f>
        <v>1045.0388108</v>
      </c>
      <c r="F226" s="9">
        <f>IF('Model inputs'!F134="","",'Model inputs'!F134)</f>
        <v>1186.171879436</v>
      </c>
      <c r="G226" s="9">
        <f>IF('Model inputs'!G134="","",'Model inputs'!G134)</f>
        <v>1319.58741737612</v>
      </c>
      <c r="H226" s="9">
        <f>IF('Model inputs'!H134="","",'Model inputs'!H134)</f>
        <v>1445.7956336321804</v>
      </c>
      <c r="I226" s="9">
        <f>SUM('Model inputs'!I227,'Model inputs'!I228)</f>
        <v>1565.2691362983714</v>
      </c>
      <c r="J226" s="9">
        <f>SUM('Model inputs'!J227,'Model inputs'!J228)</f>
        <v>1678.4458441505644</v>
      </c>
      <c r="K226" s="9">
        <f>SUM('Model inputs'!K227,'Model inputs'!K228)</f>
        <v>1785.7316682119</v>
      </c>
      <c r="L226" s="9">
        <f>SUM('Model inputs'!L227,'Model inputs'!L228)</f>
        <v>1887.5029816005267</v>
      </c>
      <c r="M226" s="9">
        <f>SUM('Model inputs'!M227,'Model inputs'!M228)</f>
        <v>1984.1088945126967</v>
      </c>
      <c r="N226" s="9">
        <f>SUM('Model inputs'!N227,'Model inputs'!N228)</f>
        <v>2075.8733498486863</v>
      </c>
    </row>
    <row r="227" outlineLevel="1">
      <c r="A227" t="inlineStr" s="19">
        <is>
          <t xml:space="preserve">Revenue (USD) &gt; Classroom</t>
        </is>
      </c>
      <c r="B227" s="10">
        <f>IF('Model inputs'!B135="","",'Model inputs'!B135)</f>
        <v>0</v>
      </c>
      <c r="C227" s="10">
        <f>IF('Model inputs'!C135="","",'Model inputs'!C135)</f>
        <v>368.29999999999995</v>
      </c>
      <c r="D227" s="10">
        <f>IF('Model inputs'!D135="","",'Model inputs'!D135)</f>
        <v>444.251</v>
      </c>
      <c r="E227" s="10">
        <f>IF('Model inputs'!E135="","",'Model inputs'!E135)</f>
        <v>517.92347</v>
      </c>
      <c r="F227" s="10">
        <f>IF('Model inputs'!F135="","",'Model inputs'!F135)</f>
        <v>589.3857658999999</v>
      </c>
      <c r="G227" s="10">
        <f>IF('Model inputs'!G135="","",'Model inputs'!G135)</f>
        <v>658.7041929229999</v>
      </c>
      <c r="H227" s="10">
        <f>IF('Model inputs'!H135="","",'Model inputs'!H135)</f>
        <v>725.94306713531</v>
      </c>
      <c r="I227" s="10">
        <f>'Model inputs'!I326+'Model inputs'!I291</f>
        <v>791.1647751212507</v>
      </c>
      <c r="J227" s="10">
        <f>'Model inputs'!J326+'Model inputs'!J291</f>
        <v>854.4298318676132</v>
      </c>
      <c r="K227" s="10">
        <f>'Model inputs'!K326+'Model inputs'!K291</f>
        <v>915.7969369115848</v>
      </c>
      <c r="L227" s="10">
        <f>'Model inputs'!L326+'Model inputs'!L291</f>
        <v>975.3230288042371</v>
      </c>
      <c r="M227" s="10">
        <f>'Model inputs'!M326+'Model inputs'!M291</f>
        <v>1033.0633379401102</v>
      </c>
      <c r="N227" s="10">
        <f>'Model inputs'!N326+'Model inputs'!N291</f>
        <v>1089.0714378019068</v>
      </c>
    </row>
    <row r="228" outlineLevel="1">
      <c r="A228" t="inlineStr" s="19">
        <is>
          <t xml:space="preserve">Revenue (USD) &gt; Household</t>
        </is>
      </c>
      <c r="B228" s="10">
        <f>IF('Model inputs'!B136="","",'Model inputs'!B136)</f>
        <v>0</v>
      </c>
      <c r="C228" s="10">
        <f>IF('Model inputs'!C136="","",'Model inputs'!C136)</f>
        <v>369.072</v>
      </c>
      <c r="D228" s="10">
        <f>IF('Model inputs'!D136="","",'Model inputs'!D136)</f>
        <v>451.38624</v>
      </c>
      <c r="E228" s="10">
        <f>IF('Model inputs'!E136="","",'Model inputs'!E136)</f>
        <v>527.1153408</v>
      </c>
      <c r="F228" s="10">
        <f>IF('Model inputs'!F136="","",'Model inputs'!F136)</f>
        <v>596.786113536</v>
      </c>
      <c r="G228" s="10">
        <f>IF('Model inputs'!G136="","",'Model inputs'!G136)</f>
        <v>660.88322445312</v>
      </c>
      <c r="H228" s="10">
        <f>IF('Model inputs'!H136="","",'Model inputs'!H136)</f>
        <v>719.8525664968704</v>
      </c>
      <c r="I228" s="10">
        <f>'Model inputs'!I327+'Model inputs'!I292</f>
        <v>774.1043611771207</v>
      </c>
      <c r="J228" s="10">
        <f>'Model inputs'!J327+'Model inputs'!J292</f>
        <v>824.0160122829511</v>
      </c>
      <c r="K228" s="10">
        <f>'Model inputs'!K327+'Model inputs'!K292</f>
        <v>869.934731300315</v>
      </c>
      <c r="L228" s="10">
        <f>'Model inputs'!L327+'Model inputs'!L292</f>
        <v>912.1799527962897</v>
      </c>
      <c r="M228" s="10">
        <f>'Model inputs'!M327+'Model inputs'!M292</f>
        <v>951.0455565725866</v>
      </c>
      <c r="N228" s="10">
        <f>'Model inputs'!N327+'Model inputs'!N292</f>
        <v>986.8019120467798</v>
      </c>
    </row>
    <row r="229">
      <c r="A229" t="inlineStr" s="18">
        <is>
          <t xml:space="preserve">Selected picture and narration cost (USD, derived)</t>
        </is>
      </c>
      <c r="O229" s="24">
        <f>'Model inputs'!O293*'Model inputs'!O270</f>
        <v>0</v>
      </c>
    </row>
    <row r="230" outlineLevel="1">
      <c r="A230" t="inlineStr" s="19">
        <is>
          <t xml:space="preserve">Selected picture and narration cost (USD, derived) &gt; Full (8 pictures)</t>
        </is>
      </c>
      <c r="O230" s="20">
        <f>'Model inputs'!O294*'Model inputs'!O271</f>
        <v>0</v>
      </c>
    </row>
    <row r="231" outlineLevel="1">
      <c r="A231" t="inlineStr" s="19">
        <is>
          <t xml:space="preserve">Selected picture and narration cost (USD, derived) &gt; Half (4 pictures)</t>
        </is>
      </c>
      <c r="O231" s="20">
        <f>'Model inputs'!O295*'Model inputs'!O272</f>
        <v>0.176</v>
      </c>
    </row>
    <row r="232" outlineLevel="1">
      <c r="A232" t="inlineStr" s="19">
        <is>
          <t xml:space="preserve">Selected picture and narration cost (USD, derived) &gt; Text only (0)</t>
        </is>
      </c>
      <c r="O232" s="20">
        <f>'Model inputs'!O296*'Model inputs'!O273</f>
        <v>0</v>
      </c>
    </row>
    <row r="233">
      <c r="A233" t="inlineStr" s="18">
        <is>
          <t xml:space="preserve">Selected text and verification cost (USD, derived)</t>
        </is>
      </c>
      <c r="O233" s="24">
        <f>'Model inputs'!O328*'Model inputs'!O331</f>
        <v>0</v>
      </c>
    </row>
    <row r="234" outlineLevel="1">
      <c r="A234" t="inlineStr" s="19">
        <is>
          <t xml:space="preserve">Selected text and verification cost (USD, derived) &gt; Sampled</t>
        </is>
      </c>
      <c r="O234" s="20">
        <f>'Model inputs'!O329*'Model inputs'!O332</f>
        <v>0</v>
      </c>
    </row>
    <row r="235" outlineLevel="1">
      <c r="A235" t="inlineStr" s="19">
        <is>
          <t xml:space="preserve">Selected text and verification cost (USD, derived) &gt; Verify all</t>
        </is>
      </c>
      <c r="O235" s="20">
        <f>'Model inputs'!O330*'Model inputs'!O333</f>
        <v>0.0199</v>
      </c>
    </row>
    <row r="236">
      <c r="A236" t="inlineStr" s="18">
        <is>
          <t xml:space="preserve">Starting customers (assumed)</t>
        </is>
      </c>
      <c r="O236" s="16">
        <v>0</v>
      </c>
    </row>
    <row r="237" outlineLevel="1">
      <c r="A237" t="inlineStr" s="19">
        <is>
          <t xml:space="preserve">Starting customers (assumed) &gt; Classroom</t>
        </is>
      </c>
      <c r="O237" s="14">
        <f>10</f>
        <v>10</v>
      </c>
    </row>
    <row r="238" outlineLevel="1">
      <c r="A238" t="inlineStr" s="19">
        <is>
          <t xml:space="preserve">Starting customers (assumed) &gt; Household</t>
        </is>
      </c>
      <c r="O238" s="14">
        <f>40</f>
        <v>40</v>
      </c>
    </row>
    <row r="239">
      <c r="A239" t="inlineStr" s="18">
        <is>
          <t xml:space="preserve">Starting customers (assumed)</t>
        </is>
      </c>
      <c r="O239" s="16">
        <v>0</v>
      </c>
    </row>
    <row r="240" outlineLevel="1">
      <c r="A240" t="inlineStr" s="19">
        <is>
          <t xml:space="preserve">Starting customers (assumed) &gt; Classroom</t>
        </is>
      </c>
      <c r="O240" s="14">
        <f>'Model inputs'!O237</f>
        <v>10</v>
      </c>
    </row>
    <row r="241" outlineLevel="1">
      <c r="A241" t="inlineStr" s="19">
        <is>
          <t xml:space="preserve">Starting customers (assumed) &gt; Household</t>
        </is>
      </c>
      <c r="O241" s="14">
        <f>'Model inputs'!O238</f>
        <v>40</v>
      </c>
    </row>
    <row r="242">
      <c r="A242" t="inlineStr" s="18">
        <is>
          <t xml:space="preserve">Starting customers (assumed)</t>
        </is>
      </c>
      <c r="O242" s="16">
        <v>0</v>
      </c>
    </row>
    <row r="243" outlineLevel="1">
      <c r="A243" t="inlineStr" s="19">
        <is>
          <t xml:space="preserve">Starting customers (assumed) &gt; Classroom</t>
        </is>
      </c>
      <c r="O243" s="14">
        <f>'Model inputs'!O237</f>
        <v>10</v>
      </c>
    </row>
    <row r="244" outlineLevel="1">
      <c r="A244" t="inlineStr" s="19">
        <is>
          <t xml:space="preserve">Starting customers (assumed) &gt; Household</t>
        </is>
      </c>
      <c r="O244" s="14">
        <f>'Model inputs'!O238</f>
        <v>40</v>
      </c>
    </row>
    <row r="245">
      <c r="A245" t="inlineStr" s="18">
        <is>
          <t xml:space="preserve">Stories delivered</t>
        </is>
      </c>
      <c r="B245" s="16">
        <f>SUM('Model inputs'!B246,'Model inputs'!B247)</f>
        <v>0</v>
      </c>
      <c r="C245" s="16">
        <f>IF('Model inputs'!C149="","",'Model inputs'!C149)</f>
        <v>964.56</v>
      </c>
      <c r="D245" s="16">
        <f>IF('Model inputs'!D149="","",'Model inputs'!D149)</f>
        <v>1037.0952</v>
      </c>
      <c r="E245" s="16">
        <f>IF('Model inputs'!E149="","",'Model inputs'!E149)</f>
        <v>1105.864584</v>
      </c>
      <c r="F245" s="16">
        <f>IF('Model inputs'!F149="","",'Model inputs'!F149)</f>
        <v>1171.10830728</v>
      </c>
      <c r="G245" s="16">
        <f>IF('Model inputs'!G149="","",'Model inputs'!G149)</f>
        <v>1233.0491459976</v>
      </c>
      <c r="H245" s="16">
        <f>IF('Model inputs'!H149="","",'Model inputs'!H149)</f>
        <v>1291.893832518792</v>
      </c>
    </row>
    <row r="246" outlineLevel="1">
      <c r="A246" t="inlineStr" s="19">
        <is>
          <t xml:space="preserve">Stories delivered &gt; Classroom</t>
        </is>
      </c>
      <c r="B246" s="14">
        <f>0</f>
        <v>0</v>
      </c>
      <c r="C246" s="14">
        <f>IF('Model inputs'!C150="","",'Model inputs'!C150)</f>
        <v>642</v>
      </c>
      <c r="D246" s="14">
        <f>IF('Model inputs'!D150="","",'Model inputs'!D150)</f>
        <v>682.74</v>
      </c>
      <c r="E246" s="14">
        <f>IF('Model inputs'!E150="","",'Model inputs'!E150)</f>
        <v>722.2578</v>
      </c>
      <c r="F246" s="14">
        <f>IF('Model inputs'!F150="","",'Model inputs'!F150)</f>
        <v>760.590066</v>
      </c>
      <c r="G246" s="14">
        <f>IF('Model inputs'!G150="","",'Model inputs'!G150)</f>
        <v>797.7723640199999</v>
      </c>
      <c r="H246" s="14">
        <f>IF('Model inputs'!H150="","",'Model inputs'!H150)</f>
        <v>833.8391930994001</v>
      </c>
    </row>
    <row r="247" outlineLevel="1">
      <c r="A247" t="inlineStr" s="19">
        <is>
          <t xml:space="preserve">Stories delivered &gt; Household</t>
        </is>
      </c>
      <c r="B247" s="14">
        <f>0</f>
        <v>0</v>
      </c>
      <c r="C247" s="14">
        <f>IF('Model inputs'!C151="","",'Model inputs'!C151)</f>
        <v>322.55999999999995</v>
      </c>
      <c r="D247" s="14">
        <f>IF('Model inputs'!D151="","",'Model inputs'!D151)</f>
        <v>354.3551999999999</v>
      </c>
      <c r="E247" s="14">
        <f>IF('Model inputs'!E151="","",'Model inputs'!E151)</f>
        <v>383.6067839999999</v>
      </c>
      <c r="F247" s="14">
        <f>IF('Model inputs'!F151="","",'Model inputs'!F151)</f>
        <v>410.5182412799999</v>
      </c>
      <c r="G247" s="14">
        <f>IF('Model inputs'!G151="","",'Model inputs'!G151)</f>
        <v>435.2767819775999</v>
      </c>
      <c r="H247" s="14">
        <f>IF('Model inputs'!H151="","",'Model inputs'!H151)</f>
        <v>458.0546394193919</v>
      </c>
    </row>
    <row r="248">
      <c r="A248" t="inlineStr" s="18">
        <is>
          <t xml:space="preserve">Stories delivered</t>
        </is>
      </c>
      <c r="B248" s="16">
        <f>SUM('Model inputs'!B249,'Model inputs'!B250)</f>
        <v>0</v>
      </c>
      <c r="C248" s="16">
        <f>SUM('Model inputs'!C249,'Model inputs'!C250)</f>
        <v>926.4</v>
      </c>
      <c r="D248" s="16">
        <f>SUM('Model inputs'!D249,'Model inputs'!D250)</f>
        <v>961.1999999999999</v>
      </c>
      <c r="E248" s="16">
        <f>SUM('Model inputs'!E249,'Model inputs'!E250)</f>
        <v>992.8104000000001</v>
      </c>
      <c r="F248" s="16">
        <f>SUM('Model inputs'!F249,'Model inputs'!F250)</f>
        <v>1021.587816</v>
      </c>
      <c r="G248" s="16">
        <f>SUM('Model inputs'!G249,'Model inputs'!G250)</f>
        <v>1047.8426810400001</v>
      </c>
      <c r="H248" s="16">
        <f>SUM('Model inputs'!H249,'Model inputs'!H250)</f>
        <v>1071.8457340776</v>
      </c>
    </row>
    <row r="249" outlineLevel="1">
      <c r="A249" t="inlineStr" s="19">
        <is>
          <t xml:space="preserve">Stories delivered &gt; Classroom</t>
        </is>
      </c>
      <c r="B249" s="14">
        <f>'Model inputs'!B246</f>
        <v>0</v>
      </c>
      <c r="C249" s="14">
        <f>'Model inputs'!C29*'Model inputs'!O261</f>
        <v>624</v>
      </c>
      <c r="D249" s="14">
        <f>'Model inputs'!D29*'Model inputs'!O261</f>
        <v>646.56</v>
      </c>
      <c r="E249" s="14">
        <f>'Model inputs'!E29*'Model inputs'!O261</f>
        <v>667.7664000000001</v>
      </c>
      <c r="F249" s="14">
        <f>'Model inputs'!F29*'Model inputs'!O261</f>
        <v>687.700416</v>
      </c>
      <c r="G249" s="14">
        <f>'Model inputs'!G29*'Model inputs'!O261</f>
        <v>706.43839104</v>
      </c>
      <c r="H249" s="14">
        <f>'Model inputs'!H29*'Model inputs'!O261</f>
        <v>724.0520875776</v>
      </c>
    </row>
    <row r="250" outlineLevel="1">
      <c r="A250" t="inlineStr" s="19">
        <is>
          <t xml:space="preserve">Stories delivered &gt; Household</t>
        </is>
      </c>
      <c r="B250" s="14">
        <f>'Model inputs'!B247</f>
        <v>0</v>
      </c>
      <c r="C250" s="14">
        <f>'Model inputs'!C30*'Model inputs'!O262</f>
        <v>302.4</v>
      </c>
      <c r="D250" s="14">
        <f>'Model inputs'!D30*'Model inputs'!O262</f>
        <v>314.64</v>
      </c>
      <c r="E250" s="14">
        <f>'Model inputs'!E30*'Model inputs'!O262</f>
        <v>325.044</v>
      </c>
      <c r="F250" s="14">
        <f>'Model inputs'!F30*'Model inputs'!O262</f>
        <v>333.8874</v>
      </c>
      <c r="G250" s="14">
        <f>'Model inputs'!G30*'Model inputs'!O262</f>
        <v>341.40429</v>
      </c>
      <c r="H250" s="14">
        <f>'Model inputs'!H30*'Model inputs'!O262</f>
        <v>347.7936465</v>
      </c>
    </row>
    <row r="251">
      <c r="A251" t="inlineStr" s="18">
        <is>
          <t xml:space="preserve">Stories delivered</t>
        </is>
      </c>
      <c r="B251" s="16">
        <f>SUM('Model inputs'!B252,'Model inputs'!B253)</f>
        <v>0</v>
      </c>
      <c r="C251" s="16">
        <f>SUM('Model inputs'!C252,'Model inputs'!C253)</f>
        <v>1618.06</v>
      </c>
      <c r="D251" s="16">
        <f>SUM('Model inputs'!D252,'Model inputs'!D253)</f>
        <v>1960.7902</v>
      </c>
      <c r="E251" s="16">
        <f>SUM('Model inputs'!E252,'Model inputs'!E253)</f>
        <v>2287.2327339999997</v>
      </c>
      <c r="F251" s="16">
        <f>SUM('Model inputs'!F252,'Model inputs'!F253)</f>
        <v>2598.35669278</v>
      </c>
      <c r="G251" s="16">
        <f>SUM('Model inputs'!G252,'Model inputs'!G253)</f>
        <v>2895.0636575326</v>
      </c>
      <c r="H251" s="16">
        <f>SUM('Model inputs'!H252,'Model inputs'!H253)</f>
        <v>3178.1928000997423</v>
      </c>
    </row>
    <row r="252" outlineLevel="1">
      <c r="A252" t="inlineStr" s="19">
        <is>
          <t xml:space="preserve">Stories delivered &gt; Classroom</t>
        </is>
      </c>
      <c r="B252" s="14">
        <f>'Model inputs'!B246</f>
        <v>0</v>
      </c>
      <c r="C252" s="14">
        <f>'Model inputs'!C32*'Model inputs'!O264</f>
        <v>1079.5</v>
      </c>
      <c r="D252" s="14">
        <f>'Model inputs'!D32*'Model inputs'!O264</f>
        <v>1302.115</v>
      </c>
      <c r="E252" s="14">
        <f>'Model inputs'!E32*'Model inputs'!O264</f>
        <v>1518.05155</v>
      </c>
      <c r="F252" s="14">
        <f>'Model inputs'!F32*'Model inputs'!O264</f>
        <v>1727.5100034999998</v>
      </c>
      <c r="G252" s="14">
        <f>'Model inputs'!G32*'Model inputs'!O264</f>
        <v>1930.6847033949998</v>
      </c>
      <c r="H252" s="14">
        <f>'Model inputs'!H32*'Model inputs'!O264</f>
        <v>2127.76416229315</v>
      </c>
    </row>
    <row r="253" outlineLevel="1">
      <c r="A253" t="inlineStr" s="19">
        <is>
          <t xml:space="preserve">Stories delivered &gt; Household</t>
        </is>
      </c>
      <c r="B253" s="14">
        <f>'Model inputs'!B247</f>
        <v>0</v>
      </c>
      <c r="C253" s="14">
        <f>'Model inputs'!C33*'Model inputs'!O265</f>
        <v>538.56</v>
      </c>
      <c r="D253" s="14">
        <f>'Model inputs'!D33*'Model inputs'!O265</f>
        <v>658.6751999999999</v>
      </c>
      <c r="E253" s="14">
        <f>'Model inputs'!E33*'Model inputs'!O265</f>
        <v>769.1811839999999</v>
      </c>
      <c r="F253" s="14">
        <f>'Model inputs'!F33*'Model inputs'!O265</f>
        <v>870.8466892799999</v>
      </c>
      <c r="G253" s="14">
        <f>'Model inputs'!G33*'Model inputs'!O265</f>
        <v>964.3789541375999</v>
      </c>
      <c r="H253" s="14">
        <f>'Model inputs'!H33*'Model inputs'!O265</f>
        <v>1050.428637806592</v>
      </c>
    </row>
    <row r="254">
      <c r="A254" t="inlineStr" s="18">
        <is>
          <t xml:space="preserve">Stories included per month (assumed)</t>
        </is>
      </c>
      <c r="O254" s="16">
        <v>0</v>
      </c>
    </row>
    <row r="255" outlineLevel="1">
      <c r="A255" t="inlineStr" s="19">
        <is>
          <t xml:space="preserve">Stories included per month (assumed) &gt; Classroom</t>
        </is>
      </c>
      <c r="O255" s="14">
        <f>'Model inputs'!O108</f>
        <v>100</v>
      </c>
    </row>
    <row r="256" outlineLevel="1">
      <c r="A256" t="inlineStr" s="19">
        <is>
          <t xml:space="preserve">Stories included per month (assumed) &gt; Household</t>
        </is>
      </c>
      <c r="O256" s="14">
        <f>'Model inputs'!O109</f>
        <v>12</v>
      </c>
    </row>
    <row r="257">
      <c r="A257" t="inlineStr" s="18">
        <is>
          <t xml:space="preserve">Stories included per month (assumed)</t>
        </is>
      </c>
      <c r="O257" s="16">
        <v>0</v>
      </c>
    </row>
    <row r="258" outlineLevel="1">
      <c r="A258" t="inlineStr" s="19">
        <is>
          <t xml:space="preserve">Stories included per month (assumed) &gt; Classroom</t>
        </is>
      </c>
      <c r="O258" s="14">
        <f>'Model inputs'!O108</f>
        <v>100</v>
      </c>
    </row>
    <row r="259" outlineLevel="1">
      <c r="A259" t="inlineStr" s="19">
        <is>
          <t xml:space="preserve">Stories included per month (assumed) &gt; Household</t>
        </is>
      </c>
      <c r="O259" s="14">
        <f>'Model inputs'!O109</f>
        <v>12</v>
      </c>
    </row>
    <row r="260">
      <c r="A260" t="inlineStr" s="18">
        <is>
          <t xml:space="preserve">Stories used per customer (derived)</t>
        </is>
      </c>
      <c r="O260" s="6">
        <f>'Model inputs'!O316*'Model inputs'!O254</f>
        <v>0</v>
      </c>
    </row>
    <row r="261" outlineLevel="1">
      <c r="A261" t="inlineStr" s="19">
        <is>
          <t xml:space="preserve">Stories used per customer (derived) &gt; Classroom</t>
        </is>
      </c>
      <c r="O261" s="8">
        <f>'Model inputs'!O317*'Model inputs'!O255</f>
        <v>60</v>
      </c>
    </row>
    <row r="262" outlineLevel="1">
      <c r="A262" t="inlineStr" s="19">
        <is>
          <t xml:space="preserve">Stories used per customer (derived) &gt; Household</t>
        </is>
      </c>
      <c r="O262" s="8">
        <f>'Model inputs'!O318*'Model inputs'!O256</f>
        <v>7.199999999999999</v>
      </c>
    </row>
    <row r="263">
      <c r="A263" t="inlineStr" s="18">
        <is>
          <t xml:space="preserve">Stories used per customer (derived)</t>
        </is>
      </c>
      <c r="O263" s="6">
        <f>'Model inputs'!O319*'Model inputs'!O257</f>
        <v>0</v>
      </c>
    </row>
    <row r="264" outlineLevel="1">
      <c r="A264" t="inlineStr" s="19">
        <is>
          <t xml:space="preserve">Stories used per customer (derived) &gt; Classroom</t>
        </is>
      </c>
      <c r="O264" s="8">
        <f>'Model inputs'!O320*'Model inputs'!O258</f>
        <v>85</v>
      </c>
    </row>
    <row r="265" outlineLevel="1">
      <c r="A265" t="inlineStr" s="19">
        <is>
          <t xml:space="preserve">Stories used per customer (derived) &gt; Household</t>
        </is>
      </c>
      <c r="O265" s="8">
        <f>'Model inputs'!O321*'Model inputs'!O259</f>
        <v>10.2</v>
      </c>
    </row>
    <row r="266">
      <c r="A266" t="inlineStr" s="18">
        <is>
          <t xml:space="preserve">Stories used, share of included (assumed)</t>
        </is>
      </c>
      <c r="O266" s="25">
        <v>0</v>
      </c>
    </row>
    <row r="267" outlineLevel="1">
      <c r="A267" t="inlineStr" s="19">
        <is>
          <t xml:space="preserve">Stories used, share of included (assumed) &gt; Classroom</t>
        </is>
      </c>
      <c r="O267" s="21">
        <f>0.6</f>
        <v>0.6</v>
      </c>
    </row>
    <row r="268" outlineLevel="1">
      <c r="A268" t="inlineStr" s="19">
        <is>
          <t xml:space="preserve">Stories used, share of included (assumed) &gt; Household</t>
        </is>
      </c>
      <c r="O268" s="21">
        <f>0.6</f>
        <v>0.6</v>
      </c>
    </row>
    <row r="269">
      <c r="A269" t="inlineStr" s="18">
        <is>
          <t xml:space="preserve">Spans per month (derived) · Gross profit and margin by plan (monthly)</t>
        </is>
      </c>
      <c r="B269" s="14">
        <v>0</v>
      </c>
      <c r="C269" s="14">
        <f>'Model inputs'!C149*'Model inputs'!O106</f>
        <v>144684</v>
      </c>
      <c r="D269" s="14">
        <f>'Model inputs'!D149*'Model inputs'!O106</f>
        <v>155564.28</v>
      </c>
      <c r="E269" s="14">
        <f>'Model inputs'!E149*'Model inputs'!O106</f>
        <v>165879.68759999998</v>
      </c>
      <c r="F269" s="14">
        <f>'Model inputs'!F149*'Model inputs'!O106</f>
        <v>175666.246092</v>
      </c>
      <c r="G269" s="14">
        <f>'Model inputs'!G149*'Model inputs'!O106</f>
        <v>184957.37189963998</v>
      </c>
      <c r="H269" s="14">
        <f>'Model inputs'!H149*'Model inputs'!O106</f>
        <v>193784.07487781878</v>
      </c>
      <c r="I269" s="14">
        <f>'Model inputs'!I149*'Model inputs'!O106</f>
        <v>202175.14283583878</v>
      </c>
      <c r="J269" s="14">
        <f>'Model inputs'!J149*'Model inputs'!O106</f>
        <v>210157.3115387698</v>
      </c>
      <c r="K269" s="14">
        <f>'Model inputs'!K149*'Model inputs'!O106</f>
        <v>217755.42134157236</v>
      </c>
      <c r="L269" s="14">
        <f>'Model inputs'!L149*'Model inputs'!O106</f>
        <v>224992.56151837367</v>
      </c>
      <c r="M269" s="14">
        <f>'Model inputs'!M149*'Model inputs'!O106</f>
        <v>231890.20326450703</v>
      </c>
      <c r="N269" s="14">
        <f>'Model inputs'!N149*'Model inputs'!O106</f>
        <v>238468.32227092158</v>
      </c>
    </row>
    <row r="270">
      <c r="A270" t="inlineStr" s="18">
        <is>
          <t xml:space="preserve">Illustration policy selected (1 = yes, assumed)</t>
        </is>
      </c>
      <c r="O270" s="16">
        <v>0</v>
      </c>
    </row>
    <row r="271" outlineLevel="1">
      <c r="A271" t="inlineStr" s="19">
        <is>
          <t xml:space="preserve">Illustration policy selected (1 = yes, assumed) &gt; Full (8 pictures)</t>
        </is>
      </c>
      <c r="O271" s="14">
        <f>0</f>
        <v>0</v>
      </c>
    </row>
    <row r="272" outlineLevel="1">
      <c r="A272" t="inlineStr" s="19">
        <is>
          <t xml:space="preserve">Illustration policy selected (1 = yes, assumed) &gt; Half (4 pictures)</t>
        </is>
      </c>
      <c r="O272" s="14">
        <f>1</f>
        <v>1</v>
      </c>
    </row>
    <row r="273" outlineLevel="1">
      <c r="A273" t="inlineStr" s="19">
        <is>
          <t xml:space="preserve">Illustration policy selected (1 = yes, assumed) &gt; Text only (0)</t>
        </is>
      </c>
      <c r="O273" s="14">
        <f>0</f>
        <v>0</v>
      </c>
    </row>
    <row r="274">
      <c r="A274" t="inlineStr" s="18">
        <is>
          <t xml:space="preserve">neatlogs covered by hackathon credits (1 = yes, assumed) · neatlogs bill (USD, derived) · Ending cash (USD) · Downside · Downside · Downside</t>
        </is>
      </c>
      <c r="O274" s="14">
        <f>'Model inputs'!O65</f>
        <v>1</v>
      </c>
    </row>
    <row r="275">
      <c r="A275" t="inlineStr" s="18">
        <is>
          <t xml:space="preserve">neatlogs covered by hackathon credits (1 = yes, assumed) · neatlogs bill (USD, derived) · Ending cash (USD) · Growth · Growth · Growth</t>
        </is>
      </c>
      <c r="O275" s="14">
        <f>'Model inputs'!O65</f>
        <v>1</v>
      </c>
    </row>
    <row r="276">
      <c r="A276" t="inlineStr" s="18">
        <is>
          <t xml:space="preserve">neatlogs Free plan span cap (published price, unverified for credits) · neatlogs bill (USD, derived) · Ending cash (USD) · Downside · Downside · Downside</t>
        </is>
      </c>
      <c r="O276" s="14">
        <f>'Model inputs'!O66</f>
        <v>100000</v>
      </c>
    </row>
    <row r="277">
      <c r="A277" t="inlineStr" s="18">
        <is>
          <t xml:space="preserve">neatlogs Free plan span cap (published price, unverified for credits) · neatlogs bill (USD, derived) · Ending cash (USD) · Growth · Growth · Growth</t>
        </is>
      </c>
      <c r="O277" s="14">
        <f>'Model inputs'!O66</f>
        <v>100000</v>
      </c>
    </row>
    <row r="278">
      <c r="A278" t="inlineStr" s="18">
        <is>
          <t xml:space="preserve">neatlogs price per extra 100k spans (USD, published price) · neatlogs bill (USD, derived) · Ending cash (USD) · Downside · Downside · Downside</t>
        </is>
      </c>
      <c r="O278" s="10">
        <f>'Model inputs'!O67</f>
        <v>10</v>
      </c>
    </row>
    <row r="279">
      <c r="A279" t="inlineStr" s="18">
        <is>
          <t xml:space="preserve">neatlogs price per extra 100k spans (USD, published price) · neatlogs bill (USD, derived) · Ending cash (USD) · Growth · Growth · Growth</t>
        </is>
      </c>
      <c r="O279" s="10">
        <f>'Model inputs'!O67</f>
        <v>10</v>
      </c>
    </row>
    <row r="280">
      <c r="A280" t="inlineStr" s="18">
        <is>
          <t xml:space="preserve">neatlogs Starter plan included spans (published price) · neatlogs bill (USD, derived) · Ending cash (USD) · Downside · Downside · Downside</t>
        </is>
      </c>
      <c r="O280" s="14">
        <f>'Model inputs'!O68</f>
        <v>250000</v>
      </c>
    </row>
    <row r="281">
      <c r="A281" t="inlineStr" s="18">
        <is>
          <t xml:space="preserve">neatlogs Starter plan included spans (published price) · neatlogs bill (USD, derived) · Ending cash (USD) · Growth · Growth · Growth</t>
        </is>
      </c>
      <c r="O281" s="14">
        <f>'Model inputs'!O68</f>
        <v>250000</v>
      </c>
    </row>
    <row r="282">
      <c r="A282" t="inlineStr" s="18">
        <is>
          <t xml:space="preserve">neatlogs Starter plan price per month (USD, published price) · neatlogs bill (USD, derived) · Ending cash (USD) · Downside · Downside · Downside</t>
        </is>
      </c>
      <c r="O282" s="10">
        <f>'Model inputs'!O69</f>
        <v>99</v>
      </c>
    </row>
    <row r="283">
      <c r="A283" t="inlineStr" s="18">
        <is>
          <t xml:space="preserve">neatlogs Starter plan price per month (USD, published price) · neatlogs bill (USD, derived) · Ending cash (USD) · Growth · Growth · Growth</t>
        </is>
      </c>
      <c r="O283" s="10">
        <f>'Model inputs'!O69</f>
        <v>99</v>
      </c>
    </row>
    <row r="284">
      <c r="A284" t="inlineStr" s="18">
        <is>
          <t xml:space="preserve">Other fixed costs per month (USD, assumed) · Other fixed costs (USD) · Net cash flow (USD) · Main Scenario · Main Scenario · Main Scenario</t>
        </is>
      </c>
      <c r="O284" s="10">
        <f>50</f>
        <v>50</v>
      </c>
    </row>
    <row r="285">
      <c r="A285" t="inlineStr" s="18">
        <is>
          <t xml:space="preserve">Other fixed costs per month (USD, assumed) · Other fixed costs (USD) · Net cash flow (USD) · Downside · Downside · Downside</t>
        </is>
      </c>
      <c r="O285" s="10">
        <f>'Model inputs'!O284</f>
        <v>50</v>
      </c>
    </row>
    <row r="286">
      <c r="A286" t="inlineStr" s="18">
        <is>
          <t xml:space="preserve">Other fixed costs per month (USD, assumed) · Other fixed costs (USD) · Net cash flow (USD) · Growth · Growth · Growth</t>
        </is>
      </c>
      <c r="O286" s="10">
        <f>'Model inputs'!O284</f>
        <v>50</v>
      </c>
    </row>
    <row r="287">
      <c r="A287" t="inlineStr" s="18">
        <is>
          <t xml:space="preserve">Overage revenue (USD)</t>
        </is>
      </c>
      <c r="B287" s="9">
        <f>IF('Model inputs'!B91="","",'Model inputs'!B91)</f>
        <v>0</v>
      </c>
      <c r="C287" s="9">
        <f>IF('Model inputs'!C91="","",'Model inputs'!C91)</f>
        <v>0</v>
      </c>
      <c r="D287" s="9">
        <f>IF('Model inputs'!D91="","",'Model inputs'!D91)</f>
        <v>0</v>
      </c>
      <c r="E287" s="9">
        <f>IF('Model inputs'!E91="","",'Model inputs'!E91)</f>
        <v>0</v>
      </c>
      <c r="F287" s="9">
        <f>IF('Model inputs'!F91="","",'Model inputs'!F91)</f>
        <v>0</v>
      </c>
      <c r="G287" s="9">
        <f>IF('Model inputs'!G91="","",'Model inputs'!G91)</f>
        <v>0</v>
      </c>
      <c r="H287" s="9">
        <f>IF('Model inputs'!H91="","",'Model inputs'!H91)</f>
        <v>0</v>
      </c>
      <c r="I287" s="9">
        <f>SUM('Model inputs'!I288,'Model inputs'!I289)</f>
        <v>0</v>
      </c>
      <c r="J287" s="9">
        <f>SUM('Model inputs'!J288,'Model inputs'!J289)</f>
        <v>0</v>
      </c>
      <c r="K287" s="9">
        <f>SUM('Model inputs'!K288,'Model inputs'!K289)</f>
        <v>0</v>
      </c>
      <c r="L287" s="9">
        <f>SUM('Model inputs'!L288,'Model inputs'!L289)</f>
        <v>0</v>
      </c>
      <c r="M287" s="9">
        <f>SUM('Model inputs'!M288,'Model inputs'!M289)</f>
        <v>0</v>
      </c>
      <c r="N287" s="9">
        <f>SUM('Model inputs'!N288,'Model inputs'!N289)</f>
        <v>0</v>
      </c>
    </row>
    <row r="288" outlineLevel="1">
      <c r="A288" t="inlineStr" s="19">
        <is>
          <t xml:space="preserve">Overage revenue (USD) &gt; Classroom</t>
        </is>
      </c>
      <c r="B288" s="10">
        <f>IF('Model inputs'!B92="","",'Model inputs'!B92)</f>
        <v>0</v>
      </c>
      <c r="C288" s="10">
        <f>IF('Model inputs'!C92="","",'Model inputs'!C92)</f>
        <v>0</v>
      </c>
      <c r="D288" s="10">
        <f>IF('Model inputs'!D92="","",'Model inputs'!D92)</f>
        <v>0</v>
      </c>
      <c r="E288" s="10">
        <f>IF('Model inputs'!E92="","",'Model inputs'!E92)</f>
        <v>0</v>
      </c>
      <c r="F288" s="10">
        <f>IF('Model inputs'!F92="","",'Model inputs'!F92)</f>
        <v>0</v>
      </c>
      <c r="G288" s="10">
        <f>IF('Model inputs'!G92="","",'Model inputs'!G92)</f>
        <v>0</v>
      </c>
      <c r="H288" s="10">
        <f>IF('Model inputs'!H92="","",'Model inputs'!H92)</f>
        <v>0</v>
      </c>
      <c r="I288" s="10">
        <f>'Model inputs'!I342*IF(IF(IF(IF(ISERROR('Model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inputs'!O212,0)="",0,IF(IF(IF(ISERROR('Model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inputs'!O212,0))</f>
        <v>0</v>
      </c>
      <c r="J288" s="10">
        <f>'Model inputs'!J342*IF(IF(IF(IF(ISERROR('Model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inputs'!O212,0)="",0,IF(IF(IF(ISERROR('Model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inputs'!O212,0))</f>
        <v>0</v>
      </c>
      <c r="K288" s="10">
        <f>'Model inputs'!K342*IF(IF(IF(IF(ISERROR('Model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inputs'!O212,0)="",0,IF(IF(IF(ISERROR('Model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inputs'!O212,0))</f>
        <v>0</v>
      </c>
      <c r="L288" s="10">
        <f>'Model inputs'!L342*IF(IF(IF(IF(ISERROR('Model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inputs'!O212,0)="",0,IF(IF(IF(ISERROR('Model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inputs'!O212,0))</f>
        <v>0</v>
      </c>
      <c r="M288" s="10">
        <f>'Model inputs'!M342*IF(IF(IF(IF(ISERROR('Model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inputs'!O212,0)="",0,IF(IF(IF(ISERROR('Model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inputs'!O212,0))</f>
        <v>0</v>
      </c>
      <c r="N288" s="10">
        <f>'Model inputs'!N342*IF(IF(IF(IF(ISERROR('Model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inputs'!O212,0)="",0,IF(IF(IF(ISERROR('Model inputs'!O261&gt;'Model inputs'!O255),'Model inputs'!O261&gt;'Model inputs'!O255,IF(OR('Model inputs'!O261="",'Model inputs'!O255=""),"",'Model inputs'!O261&gt;'Model inputs'!O255))="",FALSE,IF(ISERROR('Model inputs'!O261&gt;'Model inputs'!O255),'Model inputs'!O261&gt;'Model inputs'!O255,IF(OR('Model inputs'!O261="",'Model inputs'!O255=""),"",'Model inputs'!O261&gt;'Model inputs'!O255))),('Model inputs'!O261-'Model inputs'!O255)*'Model inputs'!O212,0))</f>
        <v>0</v>
      </c>
    </row>
    <row r="289" outlineLevel="1">
      <c r="A289" t="inlineStr" s="19">
        <is>
          <t xml:space="preserve">Overage revenue (USD) &gt; Household</t>
        </is>
      </c>
      <c r="B289" s="10">
        <f>IF('Model inputs'!B93="","",'Model inputs'!B93)</f>
        <v>0</v>
      </c>
      <c r="C289" s="10">
        <f>IF('Model inputs'!C93="","",'Model inputs'!C93)</f>
        <v>0</v>
      </c>
      <c r="D289" s="10">
        <f>IF('Model inputs'!D93="","",'Model inputs'!D93)</f>
        <v>0</v>
      </c>
      <c r="E289" s="10">
        <f>IF('Model inputs'!E93="","",'Model inputs'!E93)</f>
        <v>0</v>
      </c>
      <c r="F289" s="10">
        <f>IF('Model inputs'!F93="","",'Model inputs'!F93)</f>
        <v>0</v>
      </c>
      <c r="G289" s="10">
        <f>IF('Model inputs'!G93="","",'Model inputs'!G93)</f>
        <v>0</v>
      </c>
      <c r="H289" s="10">
        <f>IF('Model inputs'!H93="","",'Model inputs'!H93)</f>
        <v>0</v>
      </c>
      <c r="I289" s="10">
        <f>'Model inputs'!I343*IF(IF(IF(IF(ISERROR('Model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inputs'!O213,0)="",0,IF(IF(IF(ISERROR('Model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inputs'!O213,0))</f>
        <v>0</v>
      </c>
      <c r="J289" s="10">
        <f>'Model inputs'!J343*IF(IF(IF(IF(ISERROR('Model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inputs'!O213,0)="",0,IF(IF(IF(ISERROR('Model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inputs'!O213,0))</f>
        <v>0</v>
      </c>
      <c r="K289" s="10">
        <f>'Model inputs'!K343*IF(IF(IF(IF(ISERROR('Model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inputs'!O213,0)="",0,IF(IF(IF(ISERROR('Model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inputs'!O213,0))</f>
        <v>0</v>
      </c>
      <c r="L289" s="10">
        <f>'Model inputs'!L343*IF(IF(IF(IF(ISERROR('Model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inputs'!O213,0)="",0,IF(IF(IF(ISERROR('Model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inputs'!O213,0))</f>
        <v>0</v>
      </c>
      <c r="M289" s="10">
        <f>'Model inputs'!M343*IF(IF(IF(IF(ISERROR('Model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inputs'!O213,0)="",0,IF(IF(IF(ISERROR('Model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inputs'!O213,0))</f>
        <v>0</v>
      </c>
      <c r="N289" s="10">
        <f>'Model inputs'!N343*IF(IF(IF(IF(ISERROR('Model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inputs'!O213,0)="",0,IF(IF(IF(ISERROR('Model inputs'!O262&gt;'Model inputs'!O256),'Model inputs'!O262&gt;'Model inputs'!O256,IF(OR('Model inputs'!O262="",'Model inputs'!O256=""),"",'Model inputs'!O262&gt;'Model inputs'!O256))="",FALSE,IF(ISERROR('Model inputs'!O262&gt;'Model inputs'!O256),'Model inputs'!O262&gt;'Model inputs'!O256,IF(OR('Model inputs'!O262="",'Model inputs'!O256=""),"",'Model inputs'!O262&gt;'Model inputs'!O256))),('Model inputs'!O262-'Model inputs'!O256)*'Model inputs'!O213,0))</f>
        <v>0</v>
      </c>
    </row>
    <row r="290">
      <c r="A290" t="inlineStr" s="18">
        <is>
          <t xml:space="preserve">Overage revenue (USD)</t>
        </is>
      </c>
      <c r="B290" s="9">
        <f>IF('Model inputs'!B94="","",'Model inputs'!B94)</f>
        <v>0</v>
      </c>
      <c r="C290" s="9">
        <f>IF('Model inputs'!C94="","",'Model inputs'!C94)</f>
        <v>0</v>
      </c>
      <c r="D290" s="9">
        <f>IF('Model inputs'!D94="","",'Model inputs'!D94)</f>
        <v>0</v>
      </c>
      <c r="E290" s="9">
        <f>IF('Model inputs'!E94="","",'Model inputs'!E94)</f>
        <v>0</v>
      </c>
      <c r="F290" s="9">
        <f>IF('Model inputs'!F94="","",'Model inputs'!F94)</f>
        <v>0</v>
      </c>
      <c r="G290" s="9">
        <f>IF('Model inputs'!G94="","",'Model inputs'!G94)</f>
        <v>0</v>
      </c>
      <c r="H290" s="9">
        <f>IF('Model inputs'!H94="","",'Model inputs'!H94)</f>
        <v>0</v>
      </c>
      <c r="I290" s="9">
        <f>SUM('Model inputs'!I291,'Model inputs'!I292)</f>
        <v>0</v>
      </c>
      <c r="J290" s="9">
        <f>SUM('Model inputs'!J291,'Model inputs'!J292)</f>
        <v>0</v>
      </c>
      <c r="K290" s="9">
        <f>SUM('Model inputs'!K291,'Model inputs'!K292)</f>
        <v>0</v>
      </c>
      <c r="L290" s="9">
        <f>SUM('Model inputs'!L291,'Model inputs'!L292)</f>
        <v>0</v>
      </c>
      <c r="M290" s="9">
        <f>SUM('Model inputs'!M291,'Model inputs'!M292)</f>
        <v>0</v>
      </c>
      <c r="N290" s="9">
        <f>SUM('Model inputs'!N291,'Model inputs'!N292)</f>
        <v>0</v>
      </c>
    </row>
    <row r="291" outlineLevel="1">
      <c r="A291" t="inlineStr" s="19">
        <is>
          <t xml:space="preserve">Overage revenue (USD) &gt; Classroom</t>
        </is>
      </c>
      <c r="B291" s="10">
        <f>IF('Model inputs'!B95="","",'Model inputs'!B95)</f>
        <v>0</v>
      </c>
      <c r="C291" s="10">
        <f>IF('Model inputs'!C95="","",'Model inputs'!C95)</f>
        <v>0</v>
      </c>
      <c r="D291" s="10">
        <f>IF('Model inputs'!D95="","",'Model inputs'!D95)</f>
        <v>0</v>
      </c>
      <c r="E291" s="10">
        <f>IF('Model inputs'!E95="","",'Model inputs'!E95)</f>
        <v>0</v>
      </c>
      <c r="F291" s="10">
        <f>IF('Model inputs'!F95="","",'Model inputs'!F95)</f>
        <v>0</v>
      </c>
      <c r="G291" s="10">
        <f>IF('Model inputs'!G95="","",'Model inputs'!G95)</f>
        <v>0</v>
      </c>
      <c r="H291" s="10">
        <f>IF('Model inputs'!H95="","",'Model inputs'!H95)</f>
        <v>0</v>
      </c>
      <c r="I291" s="10">
        <f>'Model inputs'!I345*IF(IF(IF(IF(ISERROR('Model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inputs'!O215,0)="",0,IF(IF(IF(ISERROR('Model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inputs'!O215,0))</f>
        <v>0</v>
      </c>
      <c r="J291" s="10">
        <f>'Model inputs'!J345*IF(IF(IF(IF(ISERROR('Model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inputs'!O215,0)="",0,IF(IF(IF(ISERROR('Model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inputs'!O215,0))</f>
        <v>0</v>
      </c>
      <c r="K291" s="10">
        <f>'Model inputs'!K345*IF(IF(IF(IF(ISERROR('Model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inputs'!O215,0)="",0,IF(IF(IF(ISERROR('Model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inputs'!O215,0))</f>
        <v>0</v>
      </c>
      <c r="L291" s="10">
        <f>'Model inputs'!L345*IF(IF(IF(IF(ISERROR('Model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inputs'!O215,0)="",0,IF(IF(IF(ISERROR('Model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inputs'!O215,0))</f>
        <v>0</v>
      </c>
      <c r="M291" s="10">
        <f>'Model inputs'!M345*IF(IF(IF(IF(ISERROR('Model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inputs'!O215,0)="",0,IF(IF(IF(ISERROR('Model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inputs'!O215,0))</f>
        <v>0</v>
      </c>
      <c r="N291" s="10">
        <f>'Model inputs'!N345*IF(IF(IF(IF(ISERROR('Model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inputs'!O215,0)="",0,IF(IF(IF(ISERROR('Model inputs'!O264&gt;'Model inputs'!O258),'Model inputs'!O264&gt;'Model inputs'!O258,IF(OR('Model inputs'!O264="",'Model inputs'!O258=""),"",'Model inputs'!O264&gt;'Model inputs'!O258))="",FALSE,IF(ISERROR('Model inputs'!O264&gt;'Model inputs'!O258),'Model inputs'!O264&gt;'Model inputs'!O258,IF(OR('Model inputs'!O264="",'Model inputs'!O258=""),"",'Model inputs'!O264&gt;'Model inputs'!O258))),('Model inputs'!O264-'Model inputs'!O258)*'Model inputs'!O215,0))</f>
        <v>0</v>
      </c>
    </row>
    <row r="292" outlineLevel="1">
      <c r="A292" t="inlineStr" s="19">
        <is>
          <t xml:space="preserve">Overage revenue (USD) &gt; Household</t>
        </is>
      </c>
      <c r="B292" s="10">
        <f>IF('Model inputs'!B96="","",'Model inputs'!B96)</f>
        <v>0</v>
      </c>
      <c r="C292" s="10">
        <f>IF('Model inputs'!C96="","",'Model inputs'!C96)</f>
        <v>0</v>
      </c>
      <c r="D292" s="10">
        <f>IF('Model inputs'!D96="","",'Model inputs'!D96)</f>
        <v>0</v>
      </c>
      <c r="E292" s="10">
        <f>IF('Model inputs'!E96="","",'Model inputs'!E96)</f>
        <v>0</v>
      </c>
      <c r="F292" s="10">
        <f>IF('Model inputs'!F96="","",'Model inputs'!F96)</f>
        <v>0</v>
      </c>
      <c r="G292" s="10">
        <f>IF('Model inputs'!G96="","",'Model inputs'!G96)</f>
        <v>0</v>
      </c>
      <c r="H292" s="10">
        <f>IF('Model inputs'!H96="","",'Model inputs'!H96)</f>
        <v>0</v>
      </c>
      <c r="I292" s="10">
        <f>'Model inputs'!I346*IF(IF(IF(IF(ISERROR('Model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inputs'!O216,0)="",0,IF(IF(IF(ISERROR('Model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inputs'!O216,0))</f>
        <v>0</v>
      </c>
      <c r="J292" s="10">
        <f>'Model inputs'!J346*IF(IF(IF(IF(ISERROR('Model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inputs'!O216,0)="",0,IF(IF(IF(ISERROR('Model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inputs'!O216,0))</f>
        <v>0</v>
      </c>
      <c r="K292" s="10">
        <f>'Model inputs'!K346*IF(IF(IF(IF(ISERROR('Model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inputs'!O216,0)="",0,IF(IF(IF(ISERROR('Model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inputs'!O216,0))</f>
        <v>0</v>
      </c>
      <c r="L292" s="10">
        <f>'Model inputs'!L346*IF(IF(IF(IF(ISERROR('Model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inputs'!O216,0)="",0,IF(IF(IF(ISERROR('Model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inputs'!O216,0))</f>
        <v>0</v>
      </c>
      <c r="M292" s="10">
        <f>'Model inputs'!M346*IF(IF(IF(IF(ISERROR('Model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inputs'!O216,0)="",0,IF(IF(IF(ISERROR('Model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inputs'!O216,0))</f>
        <v>0</v>
      </c>
      <c r="N292" s="10">
        <f>'Model inputs'!N346*IF(IF(IF(IF(ISERROR('Model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inputs'!O216,0)="",0,IF(IF(IF(ISERROR('Model inputs'!O265&gt;'Model inputs'!O259),'Model inputs'!O265&gt;'Model inputs'!O259,IF(OR('Model inputs'!O265="",'Model inputs'!O259=""),"",'Model inputs'!O265&gt;'Model inputs'!O259))="",FALSE,IF(ISERROR('Model inputs'!O265&gt;'Model inputs'!O259),'Model inputs'!O265&gt;'Model inputs'!O259,IF(OR('Model inputs'!O265="",'Model inputs'!O259=""),"",'Model inputs'!O265&gt;'Model inputs'!O259))),('Model inputs'!O265-'Model inputs'!O259)*'Model inputs'!O216,0))</f>
        <v>0</v>
      </c>
    </row>
    <row r="293">
      <c r="A293" t="inlineStr" s="18">
        <is>
          <t xml:space="preserve">Picture and narration cost per story (USD, derived)</t>
        </is>
      </c>
      <c r="O293" s="24">
        <f>'Model inputs'!O363*'Model inputs'!O337+'Model inputs'!O335*'Model inputs'!O336</f>
        <v>0.016</v>
      </c>
    </row>
    <row r="294" outlineLevel="1">
      <c r="A294" t="inlineStr" s="19">
        <is>
          <t xml:space="preserve">Picture and narration cost per story (USD, derived) &gt; Full (8 pictures)</t>
        </is>
      </c>
      <c r="O294" s="20">
        <f>'Model inputs'!O364*'Model inputs'!O337+'Model inputs'!O335*'Model inputs'!O336</f>
        <v>0.336</v>
      </c>
    </row>
    <row r="295" outlineLevel="1">
      <c r="A295" t="inlineStr" s="19">
        <is>
          <t xml:space="preserve">Picture and narration cost per story (USD, derived) &gt; Half (4 pictures)</t>
        </is>
      </c>
      <c r="O295" s="20">
        <f>'Model inputs'!O365*'Model inputs'!O337+'Model inputs'!O335*'Model inputs'!O336</f>
        <v>0.176</v>
      </c>
    </row>
    <row r="296" outlineLevel="1">
      <c r="A296" t="inlineStr" s="19">
        <is>
          <t xml:space="preserve">Picture and narration cost per story (USD, derived) &gt; Text only (0)</t>
        </is>
      </c>
      <c r="O296" s="20">
        <f>'Model inputs'!O366*'Model inputs'!O337+'Model inputs'!O335*'Model inputs'!O336</f>
        <v>0.016</v>
      </c>
    </row>
    <row r="297">
      <c r="A297" t="inlineStr" s="18">
        <is>
          <t xml:space="preserve">Selected picture and narration cost (USD, derived)</t>
        </is>
      </c>
      <c r="O297" s="24">
        <f>'Model inputs'!O355*'Model inputs'!O347</f>
        <v>0</v>
      </c>
    </row>
    <row r="298" outlineLevel="1">
      <c r="A298" t="inlineStr" s="19">
        <is>
          <t xml:space="preserve">Selected picture and narration cost (USD, derived) &gt; Full (8 pictures)</t>
        </is>
      </c>
      <c r="O298" s="20">
        <f>'Model inputs'!O356*'Model inputs'!O348</f>
        <v>0</v>
      </c>
    </row>
    <row r="299" outlineLevel="1">
      <c r="A299" t="inlineStr" s="19">
        <is>
          <t xml:space="preserve">Selected picture and narration cost (USD, derived) &gt; Half (4 pictures)</t>
        </is>
      </c>
      <c r="O299" s="20">
        <f>'Model inputs'!O357*'Model inputs'!O349</f>
        <v>0.336</v>
      </c>
    </row>
    <row r="300" outlineLevel="1">
      <c r="A300" t="inlineStr" s="19">
        <is>
          <t xml:space="preserve">Selected picture and narration cost (USD, derived) &gt; Text only (0)</t>
        </is>
      </c>
      <c r="O300" s="20">
        <f>'Model inputs'!O358*'Model inputs'!O350</f>
        <v>0</v>
      </c>
    </row>
    <row r="301">
      <c r="A301" t="inlineStr" s="18">
        <is>
          <t xml:space="preserve">Selected picture and narration cost (USD, derived)</t>
        </is>
      </c>
      <c r="O301" s="24">
        <f>'Model inputs'!O359*'Model inputs'!O351</f>
        <v>0</v>
      </c>
    </row>
    <row r="302" outlineLevel="1">
      <c r="A302" t="inlineStr" s="19">
        <is>
          <t xml:space="preserve">Selected picture and narration cost (USD, derived) &gt; Full (8 pictures)</t>
        </is>
      </c>
      <c r="O302" s="20">
        <f>'Model inputs'!O360*'Model inputs'!O352</f>
        <v>0</v>
      </c>
    </row>
    <row r="303" outlineLevel="1">
      <c r="A303" t="inlineStr" s="19">
        <is>
          <t xml:space="preserve">Selected picture and narration cost (USD, derived) &gt; Half (4 pictures)</t>
        </is>
      </c>
      <c r="O303" s="20">
        <f>'Model inputs'!O361*'Model inputs'!O353</f>
        <v>0.176</v>
      </c>
    </row>
    <row r="304" outlineLevel="1">
      <c r="A304" t="inlineStr" s="19">
        <is>
          <t xml:space="preserve">Selected picture and narration cost (USD, derived) &gt; Text only (0)</t>
        </is>
      </c>
      <c r="O304" s="20">
        <f>'Model inputs'!O362*'Model inputs'!O354</f>
        <v>0</v>
      </c>
    </row>
    <row r="305">
      <c r="A305" t="inlineStr" s="18">
        <is>
          <t xml:space="preserve">Selected text and verification cost (USD, derived)</t>
        </is>
      </c>
      <c r="O305" s="24">
        <f>'Model inputs'!O372*'Model inputs'!O378</f>
        <v>0</v>
      </c>
    </row>
    <row r="306" outlineLevel="1">
      <c r="A306" t="inlineStr" s="19">
        <is>
          <t xml:space="preserve">Selected text and verification cost (USD, derived) &gt; Sampled</t>
        </is>
      </c>
      <c r="O306" s="20">
        <f>'Model inputs'!O373*'Model inputs'!O379</f>
        <v>0</v>
      </c>
    </row>
    <row r="307" outlineLevel="1">
      <c r="A307" t="inlineStr" s="19">
        <is>
          <t xml:space="preserve">Selected text and verification cost (USD, derived) &gt; Verify all</t>
        </is>
      </c>
      <c r="O307" s="20">
        <f>'Model inputs'!O374*'Model inputs'!O380</f>
        <v>0.0199</v>
      </c>
    </row>
    <row r="308">
      <c r="A308" t="inlineStr" s="18">
        <is>
          <t xml:space="preserve">Selected text and verification cost (USD, derived)</t>
        </is>
      </c>
      <c r="O308" s="24">
        <f>'Model inputs'!O375*'Model inputs'!O381</f>
        <v>0</v>
      </c>
    </row>
    <row r="309" outlineLevel="1">
      <c r="A309" t="inlineStr" s="19">
        <is>
          <t xml:space="preserve">Selected text and verification cost (USD, derived) &gt; Sampled</t>
        </is>
      </c>
      <c r="O309" s="20">
        <f>'Model inputs'!O376*'Model inputs'!O382</f>
        <v>0</v>
      </c>
    </row>
    <row r="310" outlineLevel="1">
      <c r="A310" t="inlineStr" s="19">
        <is>
          <t xml:space="preserve">Selected text and verification cost (USD, derived) &gt; Verify all</t>
        </is>
      </c>
      <c r="O310" s="20">
        <f>'Model inputs'!O377*'Model inputs'!O383</f>
        <v>0.0199</v>
      </c>
    </row>
    <row r="311">
      <c r="A311" t="inlineStr" s="18">
        <is>
          <t xml:space="preserve">Spans per month (derived) · Unit economics by plan, month 6 (Main vs Growth vs Downside) · Downside</t>
        </is>
      </c>
      <c r="B311" s="14">
        <v>0</v>
      </c>
      <c r="C311" s="14">
        <f>'Model inputs'!C248*'Model inputs'!O370</f>
        <v>138960</v>
      </c>
      <c r="D311" s="14">
        <f>'Model inputs'!D248*'Model inputs'!O370</f>
        <v>144180</v>
      </c>
      <c r="E311" s="14">
        <f>'Model inputs'!E248*'Model inputs'!O370</f>
        <v>148921.56</v>
      </c>
      <c r="F311" s="14">
        <f>'Model inputs'!F248*'Model inputs'!O370</f>
        <v>153238.1724</v>
      </c>
      <c r="G311" s="14">
        <f>'Model inputs'!G248*'Model inputs'!O370</f>
        <v>157176.40215600003</v>
      </c>
      <c r="H311" s="14">
        <f>'Model inputs'!H248*'Model inputs'!O370</f>
        <v>160776.86011163998</v>
      </c>
    </row>
    <row r="312">
      <c r="A312" t="inlineStr" s="18">
        <is>
          <t xml:space="preserve">Spans per month (derived) · Unit economics by plan, month 6 (Main vs Growth vs Downside) · Growth</t>
        </is>
      </c>
      <c r="B312" s="14">
        <v>0</v>
      </c>
      <c r="C312" s="14">
        <f>'Model inputs'!C251*'Model inputs'!O371</f>
        <v>242709</v>
      </c>
      <c r="D312" s="14">
        <f>'Model inputs'!D251*'Model inputs'!O371</f>
        <v>294118.52999999997</v>
      </c>
      <c r="E312" s="14">
        <f>'Model inputs'!E251*'Model inputs'!O371</f>
        <v>343084.9101</v>
      </c>
      <c r="F312" s="14">
        <f>'Model inputs'!F251*'Model inputs'!O371</f>
        <v>389753.50391699997</v>
      </c>
      <c r="G312" s="14">
        <f>'Model inputs'!G251*'Model inputs'!O371</f>
        <v>434259.54862988996</v>
      </c>
      <c r="H312" s="14">
        <f>'Model inputs'!H251*'Model inputs'!O371</f>
        <v>476728.92001496133</v>
      </c>
    </row>
    <row r="313">
      <c r="A313" t="inlineStr" s="18">
        <is>
          <t xml:space="preserve">Starting cash (USD, assumed) · Ending cash (USD) · Unit economics by plan, month 6 (Main vs Growth vs Downside) · Main Scenario · Main Scenario</t>
        </is>
      </c>
      <c r="O313" s="10">
        <f>2000</f>
        <v>2000</v>
      </c>
    </row>
    <row r="314">
      <c r="A314" t="inlineStr" s="18">
        <is>
          <t xml:space="preserve">Starting cash (USD, assumed) · Ending cash (USD) · Unit economics by plan, month 6 (Main vs Growth vs Downside) · Downside · Downside</t>
        </is>
      </c>
      <c r="O314" s="10">
        <f>'Model inputs'!O313</f>
        <v>2000</v>
      </c>
    </row>
    <row r="315">
      <c r="A315" t="inlineStr" s="18">
        <is>
          <t xml:space="preserve">Starting cash (USD, assumed) · Ending cash (USD) · Unit economics by plan, month 6 (Main vs Growth vs Downside) · Growth · Growth</t>
        </is>
      </c>
      <c r="O315" s="10">
        <f>'Model inputs'!O313</f>
        <v>2000</v>
      </c>
    </row>
    <row r="316">
      <c r="A316" t="inlineStr" s="18">
        <is>
          <t xml:space="preserve">Stories used, share of included (assumed)</t>
        </is>
      </c>
      <c r="O316" s="25">
        <v>0</v>
      </c>
    </row>
    <row r="317" outlineLevel="1">
      <c r="A317" t="inlineStr" s="19">
        <is>
          <t xml:space="preserve">Stories used, share of included (assumed) &gt; Classroom</t>
        </is>
      </c>
      <c r="O317" s="21">
        <f>'Model inputs'!O267</f>
        <v>0.6</v>
      </c>
    </row>
    <row r="318" outlineLevel="1">
      <c r="A318" t="inlineStr" s="19">
        <is>
          <t xml:space="preserve">Stories used, share of included (assumed) &gt; Household</t>
        </is>
      </c>
      <c r="O318" s="21">
        <f>'Model inputs'!O268</f>
        <v>0.6</v>
      </c>
    </row>
    <row r="319">
      <c r="A319" t="inlineStr" s="18">
        <is>
          <t xml:space="preserve">Stories used, share of included (assumed)</t>
        </is>
      </c>
      <c r="O319" s="25">
        <v>0</v>
      </c>
    </row>
    <row r="320" outlineLevel="1">
      <c r="A320" t="inlineStr" s="19">
        <is>
          <t xml:space="preserve">Stories used, share of included (assumed) &gt; Classroom</t>
        </is>
      </c>
      <c r="O320" s="21">
        <f>0.85</f>
        <v>0.85</v>
      </c>
    </row>
    <row r="321" outlineLevel="1">
      <c r="A321" t="inlineStr" s="19">
        <is>
          <t xml:space="preserve">Stories used, share of included (assumed) &gt; Household</t>
        </is>
      </c>
      <c r="O321" s="21">
        <f>0.85</f>
        <v>0.85</v>
      </c>
    </row>
    <row r="322">
      <c r="A322" t="inlineStr" s="18">
        <is>
          <t xml:space="preserve">Subscription revenue (USD)</t>
        </is>
      </c>
      <c r="B322" s="9">
        <f>IF('Model inputs'!B113="","",'Model inputs'!B113)</f>
        <v>0</v>
      </c>
      <c r="C322" s="9">
        <f>IF('Model inputs'!C113="","",'Model inputs'!C113)</f>
        <v>595.1800000000001</v>
      </c>
      <c r="D322" s="9">
        <f>IF('Model inputs'!D113="","",'Model inputs'!D113)</f>
        <v>617.9670000000001</v>
      </c>
      <c r="E322" s="9">
        <f>IF('Model inputs'!E113="","",'Model inputs'!E113)</f>
        <v>638.31731</v>
      </c>
      <c r="F322" s="9">
        <f>IF('Model inputs'!F113="","",'Model inputs'!F113)</f>
        <v>656.5375519000002</v>
      </c>
      <c r="G322" s="9">
        <f>IF('Model inputs'!G113="","",'Model inputs'!G113)</f>
        <v>672.891887211</v>
      </c>
      <c r="H322" s="9">
        <f>IF('Model inputs'!H113="","",'Model inputs'!H113)</f>
        <v>687.6081741395901</v>
      </c>
      <c r="I322" s="9">
        <f>SUM('Model inputs'!I323,'Model inputs'!I324)</f>
        <v>700.8832138282771</v>
      </c>
      <c r="J322" s="9">
        <f>SUM('Model inputs'!J323,'Model inputs'!J324)</f>
        <v>712.8872216150837</v>
      </c>
      <c r="K322" s="9">
        <f>SUM('Model inputs'!K323,'Model inputs'!K324)</f>
        <v>723.7676388422062</v>
      </c>
      <c r="L322" s="9">
        <f>SUM('Model inputs'!L323,'Model inputs'!L324)</f>
        <v>733.6523834570974</v>
      </c>
      <c r="M322" s="9">
        <f>SUM('Model inputs'!M323,'Model inputs'!M324)</f>
        <v>742.6526229532815</v>
      </c>
      <c r="N322" s="9">
        <f>SUM('Model inputs'!N323,'Model inputs'!N324)</f>
        <v>750.8651407041532</v>
      </c>
    </row>
    <row r="323" outlineLevel="1">
      <c r="A323" t="inlineStr" s="19">
        <is>
          <t xml:space="preserve">Subscription revenue (USD) &gt; Classroom</t>
        </is>
      </c>
      <c r="B323" s="10">
        <f>IF('Model inputs'!B114="","",'Model inputs'!B114)</f>
        <v>0</v>
      </c>
      <c r="C323" s="10">
        <f>IF('Model inputs'!C114="","",'Model inputs'!C114)</f>
        <v>301.6</v>
      </c>
      <c r="D323" s="10">
        <f>IF('Model inputs'!D114="","",'Model inputs'!D114)</f>
        <v>312.504</v>
      </c>
      <c r="E323" s="10">
        <f>IF('Model inputs'!E114="","",'Model inputs'!E114)</f>
        <v>322.75376</v>
      </c>
      <c r="F323" s="10">
        <f>IF('Model inputs'!F114="","",'Model inputs'!F114)</f>
        <v>332.3885344</v>
      </c>
      <c r="G323" s="10">
        <f>IF('Model inputs'!G114="","",'Model inputs'!G114)</f>
        <v>341.44522233600003</v>
      </c>
      <c r="H323" s="10">
        <f>IF('Model inputs'!H114="","",'Model inputs'!H114)</f>
        <v>349.95850899584</v>
      </c>
      <c r="I323" s="10">
        <f>'Model inputs'!I342*'Model inputs'!O218</f>
        <v>357.96099845608956</v>
      </c>
      <c r="J323" s="10">
        <f>'Model inputs'!J342*'Model inputs'!O218</f>
        <v>365.4833385487242</v>
      </c>
      <c r="K323" s="10">
        <f>'Model inputs'!K342*'Model inputs'!O218</f>
        <v>372.55433823580074</v>
      </c>
      <c r="L323" s="10">
        <f>'Model inputs'!L342*'Model inputs'!O218</f>
        <v>379.2010779416527</v>
      </c>
      <c r="M323" s="10">
        <f>'Model inputs'!M342*'Model inputs'!O218</f>
        <v>385.4490132651535</v>
      </c>
      <c r="N323" s="10">
        <f>'Model inputs'!N342*'Model inputs'!O218</f>
        <v>391.32207246924435</v>
      </c>
    </row>
    <row r="324" outlineLevel="1">
      <c r="A324" t="inlineStr" s="19">
        <is>
          <t xml:space="preserve">Subscription revenue (USD) &gt; Household</t>
        </is>
      </c>
      <c r="B324" s="10">
        <f>IF('Model inputs'!B115="","",'Model inputs'!B115)</f>
        <v>0</v>
      </c>
      <c r="C324" s="10">
        <f>IF('Model inputs'!C115="","",'Model inputs'!C115)</f>
        <v>293.58</v>
      </c>
      <c r="D324" s="10">
        <f>IF('Model inputs'!D115="","",'Model inputs'!D115)</f>
        <v>305.463</v>
      </c>
      <c r="E324" s="10">
        <f>IF('Model inputs'!E115="","",'Model inputs'!E115)</f>
        <v>315.56355</v>
      </c>
      <c r="F324" s="10">
        <f>IF('Model inputs'!F115="","",'Model inputs'!F115)</f>
        <v>324.14901750000007</v>
      </c>
      <c r="G324" s="10">
        <f>IF('Model inputs'!G115="","",'Model inputs'!G115)</f>
        <v>331.44666487500007</v>
      </c>
      <c r="H324" s="10">
        <f>IF('Model inputs'!H115="","",'Model inputs'!H115)</f>
        <v>337.64966514375004</v>
      </c>
      <c r="I324" s="10">
        <f>'Model inputs'!I343*'Model inputs'!O219</f>
        <v>342.92221537218757</v>
      </c>
      <c r="J324" s="10">
        <f>'Model inputs'!J343*'Model inputs'!O219</f>
        <v>347.40388306635947</v>
      </c>
      <c r="K324" s="10">
        <f>'Model inputs'!K343*'Model inputs'!O219</f>
        <v>351.21330060640554</v>
      </c>
      <c r="L324" s="10">
        <f>'Model inputs'!L343*'Model inputs'!O219</f>
        <v>354.4513055154447</v>
      </c>
      <c r="M324" s="10">
        <f>'Model inputs'!M343*'Model inputs'!O219</f>
        <v>357.203609688128</v>
      </c>
      <c r="N324" s="10">
        <f>'Model inputs'!N343*'Model inputs'!O219</f>
        <v>359.5430682349088</v>
      </c>
    </row>
    <row r="325">
      <c r="A325" t="inlineStr" s="18">
        <is>
          <t xml:space="preserve">Subscription revenue (USD)</t>
        </is>
      </c>
      <c r="B325" s="9">
        <f>IF('Model inputs'!B116="","",'Model inputs'!B116)</f>
        <v>0</v>
      </c>
      <c r="C325" s="9">
        <f>IF('Model inputs'!C116="","",'Model inputs'!C116)</f>
        <v>737.372</v>
      </c>
      <c r="D325" s="9">
        <f>IF('Model inputs'!D116="","",'Model inputs'!D116)</f>
        <v>895.63724</v>
      </c>
      <c r="E325" s="9">
        <f>IF('Model inputs'!E116="","",'Model inputs'!E116)</f>
        <v>1045.0388108</v>
      </c>
      <c r="F325" s="9">
        <f>IF('Model inputs'!F116="","",'Model inputs'!F116)</f>
        <v>1186.171879436</v>
      </c>
      <c r="G325" s="9">
        <f>IF('Model inputs'!G116="","",'Model inputs'!G116)</f>
        <v>1319.58741737612</v>
      </c>
      <c r="H325" s="9">
        <f>IF('Model inputs'!H116="","",'Model inputs'!H116)</f>
        <v>1445.7956336321804</v>
      </c>
      <c r="I325" s="9">
        <f>SUM('Model inputs'!I326,'Model inputs'!I327)</f>
        <v>1565.2691362983714</v>
      </c>
      <c r="J325" s="9">
        <f>SUM('Model inputs'!J326,'Model inputs'!J327)</f>
        <v>1678.4458441505644</v>
      </c>
      <c r="K325" s="9">
        <f>SUM('Model inputs'!K326,'Model inputs'!K327)</f>
        <v>1785.7316682119</v>
      </c>
      <c r="L325" s="9">
        <f>SUM('Model inputs'!L326,'Model inputs'!L327)</f>
        <v>1887.5029816005267</v>
      </c>
      <c r="M325" s="9">
        <f>SUM('Model inputs'!M326,'Model inputs'!M327)</f>
        <v>1984.1088945126967</v>
      </c>
      <c r="N325" s="9">
        <f>SUM('Model inputs'!N326,'Model inputs'!N327)</f>
        <v>2075.8733498486863</v>
      </c>
    </row>
    <row r="326" outlineLevel="1">
      <c r="A326" t="inlineStr" s="19">
        <is>
          <t xml:space="preserve">Subscription revenue (USD) &gt; Classroom</t>
        </is>
      </c>
      <c r="B326" s="10">
        <f>IF('Model inputs'!B117="","",'Model inputs'!B117)</f>
        <v>0</v>
      </c>
      <c r="C326" s="10">
        <f>IF('Model inputs'!C117="","",'Model inputs'!C117)</f>
        <v>368.29999999999995</v>
      </c>
      <c r="D326" s="10">
        <f>IF('Model inputs'!D117="","",'Model inputs'!D117)</f>
        <v>444.251</v>
      </c>
      <c r="E326" s="10">
        <f>IF('Model inputs'!E117="","",'Model inputs'!E117)</f>
        <v>517.92347</v>
      </c>
      <c r="F326" s="10">
        <f>IF('Model inputs'!F117="","",'Model inputs'!F117)</f>
        <v>589.3857658999999</v>
      </c>
      <c r="G326" s="10">
        <f>IF('Model inputs'!G117="","",'Model inputs'!G117)</f>
        <v>658.7041929229999</v>
      </c>
      <c r="H326" s="10">
        <f>IF('Model inputs'!H117="","",'Model inputs'!H117)</f>
        <v>725.94306713531</v>
      </c>
      <c r="I326" s="10">
        <f>'Model inputs'!I345*'Model inputs'!O221</f>
        <v>791.1647751212507</v>
      </c>
      <c r="J326" s="10">
        <f>'Model inputs'!J345*'Model inputs'!O221</f>
        <v>854.4298318676132</v>
      </c>
      <c r="K326" s="10">
        <f>'Model inputs'!K345*'Model inputs'!O221</f>
        <v>915.7969369115848</v>
      </c>
      <c r="L326" s="10">
        <f>'Model inputs'!L345*'Model inputs'!O221</f>
        <v>975.3230288042371</v>
      </c>
      <c r="M326" s="10">
        <f>'Model inputs'!M345*'Model inputs'!O221</f>
        <v>1033.0633379401102</v>
      </c>
      <c r="N326" s="10">
        <f>'Model inputs'!N345*'Model inputs'!O221</f>
        <v>1089.0714378019068</v>
      </c>
    </row>
    <row r="327" outlineLevel="1">
      <c r="A327" t="inlineStr" s="19">
        <is>
          <t xml:space="preserve">Subscription revenue (USD) &gt; Household</t>
        </is>
      </c>
      <c r="B327" s="10">
        <f>IF('Model inputs'!B118="","",'Model inputs'!B118)</f>
        <v>0</v>
      </c>
      <c r="C327" s="10">
        <f>IF('Model inputs'!C118="","",'Model inputs'!C118)</f>
        <v>369.072</v>
      </c>
      <c r="D327" s="10">
        <f>IF('Model inputs'!D118="","",'Model inputs'!D118)</f>
        <v>451.38624</v>
      </c>
      <c r="E327" s="10">
        <f>IF('Model inputs'!E118="","",'Model inputs'!E118)</f>
        <v>527.1153408</v>
      </c>
      <c r="F327" s="10">
        <f>IF('Model inputs'!F118="","",'Model inputs'!F118)</f>
        <v>596.786113536</v>
      </c>
      <c r="G327" s="10">
        <f>IF('Model inputs'!G118="","",'Model inputs'!G118)</f>
        <v>660.88322445312</v>
      </c>
      <c r="H327" s="10">
        <f>IF('Model inputs'!H118="","",'Model inputs'!H118)</f>
        <v>719.8525664968704</v>
      </c>
      <c r="I327" s="10">
        <f>'Model inputs'!I346*'Model inputs'!O222</f>
        <v>774.1043611771207</v>
      </c>
      <c r="J327" s="10">
        <f>'Model inputs'!J346*'Model inputs'!O222</f>
        <v>824.0160122829511</v>
      </c>
      <c r="K327" s="10">
        <f>'Model inputs'!K346*'Model inputs'!O222</f>
        <v>869.934731300315</v>
      </c>
      <c r="L327" s="10">
        <f>'Model inputs'!L346*'Model inputs'!O222</f>
        <v>912.1799527962897</v>
      </c>
      <c r="M327" s="10">
        <f>'Model inputs'!M346*'Model inputs'!O222</f>
        <v>951.0455565725866</v>
      </c>
      <c r="N327" s="10">
        <f>'Model inputs'!N346*'Model inputs'!O222</f>
        <v>986.8019120467798</v>
      </c>
    </row>
    <row r="328">
      <c r="A328" t="inlineStr" s="18">
        <is>
          <t xml:space="preserve">Text and verification cost per story (USD, derived)</t>
        </is>
      </c>
      <c r="O328" s="24">
        <f>'Model inputs'!O339+'Model inputs'!O367*('Model inputs'!O340-'Model inputs'!O339)</f>
        <v>0.01684</v>
      </c>
    </row>
    <row r="329" outlineLevel="1">
      <c r="A329" t="inlineStr" s="19">
        <is>
          <t xml:space="preserve">Text and verification cost per story (USD, derived) &gt; Sampled</t>
        </is>
      </c>
      <c r="O329" s="20">
        <f>'Model inputs'!O339+'Model inputs'!O368*('Model inputs'!O340-'Model inputs'!O339)</f>
        <v>0.01684</v>
      </c>
    </row>
    <row r="330" outlineLevel="1">
      <c r="A330" t="inlineStr" s="19">
        <is>
          <t xml:space="preserve">Text and verification cost per story (USD, derived) &gt; Verify all</t>
        </is>
      </c>
      <c r="O330" s="20">
        <f>'Model inputs'!O339+'Model inputs'!O369*('Model inputs'!O340-'Model inputs'!O339)</f>
        <v>0.0199</v>
      </c>
    </row>
    <row r="331">
      <c r="A331" t="inlineStr" s="18">
        <is>
          <t xml:space="preserve">Verification policy selected (1 = yes, assumed)</t>
        </is>
      </c>
      <c r="O331" s="16">
        <v>0</v>
      </c>
    </row>
    <row r="332" outlineLevel="1">
      <c r="A332" t="inlineStr" s="19">
        <is>
          <t xml:space="preserve">Verification policy selected (1 = yes, assumed) &gt; Sampled</t>
        </is>
      </c>
      <c r="O332" s="14">
        <f>0</f>
        <v>0</v>
      </c>
    </row>
    <row r="333" outlineLevel="1">
      <c r="A333" t="inlineStr" s="19">
        <is>
          <t xml:space="preserve">Verification policy selected (1 = yes, assumed) &gt; Verify all</t>
        </is>
      </c>
      <c r="O333" s="14">
        <f>1</f>
        <v>1</v>
      </c>
    </row>
    <row r="334">
      <c r="A334" t="inlineStr" s="18">
        <is>
          <t xml:space="preserve">Cost input value</t>
        </is>
      </c>
      <c r="O334" s="26">
        <v>0</v>
      </c>
    </row>
    <row r="335" outlineLevel="1">
      <c r="A335" t="inlineStr" s="19">
        <is>
          <t xml:space="preserve">Cost input value &gt; Narration price per page</t>
        </is>
      </c>
      <c r="O335" s="27">
        <f>0.002</f>
        <v>0.002</v>
      </c>
    </row>
    <row r="336" outlineLevel="1">
      <c r="A336" t="inlineStr" s="19">
        <is>
          <t xml:space="preserve">Cost input value &gt; Pages per story</t>
        </is>
      </c>
      <c r="O336" s="27">
        <f>8</f>
        <v>8</v>
      </c>
    </row>
    <row r="337" outlineLevel="1">
      <c r="A337" t="inlineStr" s="19">
        <is>
          <t xml:space="preserve">Cost input value &gt; Picture price each</t>
        </is>
      </c>
      <c r="O337" s="27">
        <f>0.04</f>
        <v>0.04</v>
      </c>
    </row>
    <row r="338" outlineLevel="1">
      <c r="A338" t="inlineStr" s="19">
        <is>
          <t xml:space="preserve">Cost input value &gt; Sampled share of gated uplift</t>
        </is>
      </c>
      <c r="O338" s="27">
        <f>0.7</f>
        <v>0.7</v>
      </c>
    </row>
    <row r="339" outlineLevel="1">
      <c r="A339" t="inlineStr" s="19">
        <is>
          <t xml:space="preserve">Cost input value &gt; Text and verification B0 ungated</t>
        </is>
      </c>
      <c r="O339" s="27">
        <f>0.0097</f>
        <v>0.0097</v>
      </c>
    </row>
    <row r="340" outlineLevel="1">
      <c r="A340" t="inlineStr" s="19">
        <is>
          <t xml:space="preserve">Cost input value &gt; Text and verification B1 gated</t>
        </is>
      </c>
      <c r="O340" s="27">
        <f>0.0199</f>
        <v>0.0199</v>
      </c>
    </row>
    <row r="341">
      <c r="A341" t="inlineStr" s="18">
        <is>
          <t xml:space="preserve">Ending customers</t>
        </is>
      </c>
      <c r="B341" s="6">
        <f>IF('Model inputs'!B28="","",'Model inputs'!B28)</f>
        <v>50</v>
      </c>
      <c r="C341" s="6">
        <f>IF('Model inputs'!C28="","",'Model inputs'!C28)</f>
        <v>52.4</v>
      </c>
      <c r="D341" s="6">
        <f>IF('Model inputs'!D28="","",'Model inputs'!D28)</f>
        <v>54.476</v>
      </c>
      <c r="E341" s="6">
        <f>IF('Model inputs'!E28="","",'Model inputs'!E28)</f>
        <v>56.274440000000006</v>
      </c>
      <c r="F341" s="6">
        <f>IF('Model inputs'!F28="","",'Model inputs'!F28)</f>
        <v>57.83492360000001</v>
      </c>
      <c r="G341" s="6">
        <f>IF('Model inputs'!G28="","",'Model inputs'!G28)</f>
        <v>59.191235684000006</v>
      </c>
      <c r="H341" s="6">
        <f>IF('Model inputs'!H28="","",'Model inputs'!H28)</f>
        <v>60.37220791796001</v>
      </c>
      <c r="I341" s="6">
        <f>SUM('Model inputs'!I342,'Model inputs'!I343)</f>
        <v>61.40245486163241</v>
      </c>
      <c r="J341" s="6">
        <f>SUM('Model inputs'!J342,'Model inputs'!J343)</f>
        <v>62.303000075871964</v>
      </c>
      <c r="K341" s="6">
        <f>SUM('Model inputs'!K342,'Model inputs'!K343)</f>
        <v>63.09180870136652</v>
      </c>
      <c r="L341" s="6">
        <f>SUM('Model inputs'!L342,'Model inputs'!L343)</f>
        <v>63.784240514824376</v>
      </c>
      <c r="M341" s="6">
        <f>SUM('Model inputs'!M342,'Model inputs'!M343)</f>
        <v>64.39343536914377</v>
      </c>
      <c r="N341" s="6">
        <f>SUM('Model inputs'!N342,'Model inputs'!N343)</f>
        <v>64.93064113942269</v>
      </c>
    </row>
    <row r="342" outlineLevel="1">
      <c r="A342" t="inlineStr" s="19">
        <is>
          <t xml:space="preserve">Ending customers &gt; Classroom</t>
        </is>
      </c>
      <c r="B342" s="8">
        <f>IF('Model inputs'!B29="","",'Model inputs'!B29)</f>
        <v>10</v>
      </c>
      <c r="C342" s="8">
        <f>IF('Model inputs'!C29="","",'Model inputs'!C29)</f>
        <v>10.4</v>
      </c>
      <c r="D342" s="8">
        <f>IF('Model inputs'!D29="","",'Model inputs'!D29)</f>
        <v>10.776</v>
      </c>
      <c r="E342" s="8">
        <f>IF('Model inputs'!E29="","",'Model inputs'!E29)</f>
        <v>11.12944</v>
      </c>
      <c r="F342" s="8">
        <f>IF('Model inputs'!F29="","",'Model inputs'!F29)</f>
        <v>11.461673600000001</v>
      </c>
      <c r="G342" s="8">
        <f>IF('Model inputs'!G29="","",'Model inputs'!G29)</f>
        <v>11.773973184</v>
      </c>
      <c r="H342" s="8">
        <f>IF('Model inputs'!H29="","",'Model inputs'!H29)</f>
        <v>12.06753479296</v>
      </c>
      <c r="I342" s="8">
        <f>'Model inputs'!H29+'Model inputs'!I405-'Model inputs'!I385</f>
        <v>12.3434827053824</v>
      </c>
      <c r="J342" s="8">
        <f>'Model inputs'!I342+'Model inputs'!J405-'Model inputs'!J385</f>
        <v>12.602873743059455</v>
      </c>
      <c r="K342" s="8">
        <f>'Model inputs'!J342+'Model inputs'!K405-'Model inputs'!K385</f>
        <v>12.846701318475887</v>
      </c>
      <c r="L342" s="8">
        <f>'Model inputs'!K342+'Model inputs'!L405-'Model inputs'!L385</f>
        <v>13.075899239367335</v>
      </c>
      <c r="M342" s="8">
        <f>'Model inputs'!L342+'Model inputs'!M405-'Model inputs'!M385</f>
        <v>13.291345285005294</v>
      </c>
      <c r="N342" s="8">
        <f>'Model inputs'!M342+'Model inputs'!N405-'Model inputs'!N385</f>
        <v>13.493864567904977</v>
      </c>
    </row>
    <row r="343" outlineLevel="1">
      <c r="A343" t="inlineStr" s="19">
        <is>
          <t xml:space="preserve">Ending customers &gt; Household</t>
        </is>
      </c>
      <c r="B343" s="8">
        <f>IF('Model inputs'!B30="","",'Model inputs'!B30)</f>
        <v>40</v>
      </c>
      <c r="C343" s="8">
        <f>IF('Model inputs'!C30="","",'Model inputs'!C30)</f>
        <v>42</v>
      </c>
      <c r="D343" s="8">
        <f>IF('Model inputs'!D30="","",'Model inputs'!D30)</f>
        <v>43.7</v>
      </c>
      <c r="E343" s="8">
        <f>IF('Model inputs'!E30="","",'Model inputs'!E30)</f>
        <v>45.145</v>
      </c>
      <c r="F343" s="8">
        <f>IF('Model inputs'!F30="","",'Model inputs'!F30)</f>
        <v>46.373250000000006</v>
      </c>
      <c r="G343" s="8">
        <f>IF('Model inputs'!G30="","",'Model inputs'!G30)</f>
        <v>47.41726250000001</v>
      </c>
      <c r="H343" s="8">
        <f>IF('Model inputs'!H30="","",'Model inputs'!H30)</f>
        <v>48.30467312500001</v>
      </c>
      <c r="I343" s="8">
        <f>'Model inputs'!H30+'Model inputs'!I406-'Model inputs'!I386</f>
        <v>49.05897215625001</v>
      </c>
      <c r="J343" s="8">
        <f>'Model inputs'!I343+'Model inputs'!J406-'Model inputs'!J386</f>
        <v>49.70012633281251</v>
      </c>
      <c r="K343" s="8">
        <f>'Model inputs'!J343+'Model inputs'!K406-'Model inputs'!K386</f>
        <v>50.24510738289063</v>
      </c>
      <c r="L343" s="8">
        <f>'Model inputs'!K343+'Model inputs'!L406-'Model inputs'!L386</f>
        <v>50.70834127545704</v>
      </c>
      <c r="M343" s="8">
        <f>'Model inputs'!L343+'Model inputs'!M406-'Model inputs'!M386</f>
        <v>51.10209008413848</v>
      </c>
      <c r="N343" s="8">
        <f>'Model inputs'!M343+'Model inputs'!N406-'Model inputs'!N386</f>
        <v>51.43677657151771</v>
      </c>
    </row>
    <row r="344">
      <c r="A344" t="inlineStr" s="18">
        <is>
          <t xml:space="preserve">Ending customers</t>
        </is>
      </c>
      <c r="B344" s="6">
        <f>IF('Model inputs'!B31="","",'Model inputs'!B31)</f>
        <v>50</v>
      </c>
      <c r="C344" s="6">
        <f>IF('Model inputs'!C31="","",'Model inputs'!C31)</f>
        <v>65.5</v>
      </c>
      <c r="D344" s="6">
        <f>IF('Model inputs'!D31="","",'Model inputs'!D31)</f>
        <v>79.895</v>
      </c>
      <c r="E344" s="6">
        <f>IF('Model inputs'!E31="","",'Model inputs'!E31)</f>
        <v>93.26935</v>
      </c>
      <c r="F344" s="6">
        <f>IF('Model inputs'!F31="","",'Model inputs'!F31)</f>
        <v>105.7007735</v>
      </c>
      <c r="G344" s="6">
        <f>IF('Model inputs'!G31="","",'Model inputs'!G31)</f>
        <v>117.26089397499999</v>
      </c>
      <c r="H344" s="6">
        <f>IF('Model inputs'!H31="","",'Model inputs'!H31)</f>
        <v>128.01571934135</v>
      </c>
      <c r="I344" s="6">
        <f>SUM('Model inputs'!I345,'Model inputs'!I346)</f>
        <v>138.02608777186148</v>
      </c>
      <c r="J344" s="6">
        <f>SUM('Model inputs'!J345,'Model inputs'!J346)</f>
        <v>147.3480779485975</v>
      </c>
      <c r="K344" s="6">
        <f>SUM('Model inputs'!K345,'Model inputs'!K346)</f>
        <v>156.03338659524005</v>
      </c>
      <c r="L344" s="6">
        <f>SUM('Model inputs'!L345,'Model inputs'!L346)</f>
        <v>164.1296759036753</v>
      </c>
      <c r="M344" s="6">
        <f>SUM('Model inputs'!M345,'Model inputs'!M346)</f>
        <v>171.6808932603541</v>
      </c>
      <c r="N344" s="6">
        <f>SUM('Model inputs'!N345,'Model inputs'!N346)</f>
        <v>178.7275654856294</v>
      </c>
    </row>
    <row r="345" outlineLevel="1">
      <c r="A345" t="inlineStr" s="19">
        <is>
          <t xml:space="preserve">Ending customers &gt; Classroom</t>
        </is>
      </c>
      <c r="B345" s="8">
        <f>IF('Model inputs'!B32="","",'Model inputs'!B32)</f>
        <v>10</v>
      </c>
      <c r="C345" s="8">
        <f>IF('Model inputs'!C32="","",'Model inputs'!C32)</f>
        <v>12.7</v>
      </c>
      <c r="D345" s="8">
        <f>IF('Model inputs'!D32="","",'Model inputs'!D32)</f>
        <v>15.318999999999999</v>
      </c>
      <c r="E345" s="8">
        <f>IF('Model inputs'!E32="","",'Model inputs'!E32)</f>
        <v>17.85943</v>
      </c>
      <c r="F345" s="8">
        <f>IF('Model inputs'!F32="","",'Model inputs'!F32)</f>
        <v>20.3236471</v>
      </c>
      <c r="G345" s="8">
        <f>IF('Model inputs'!G32="","",'Model inputs'!G32)</f>
        <v>22.713937686999998</v>
      </c>
      <c r="H345" s="8">
        <f>IF('Model inputs'!H32="","",'Model inputs'!H32)</f>
        <v>25.03251955639</v>
      </c>
      <c r="I345" s="8">
        <f>'Model inputs'!H32+'Model inputs'!I408-'Model inputs'!I388</f>
        <v>27.2815439696983</v>
      </c>
      <c r="J345" s="8">
        <f>'Model inputs'!I345+'Model inputs'!J408-'Model inputs'!J388</f>
        <v>29.463097650607352</v>
      </c>
      <c r="K345" s="8">
        <f>'Model inputs'!J345+'Model inputs'!K408-'Model inputs'!K388</f>
        <v>31.57920472108913</v>
      </c>
      <c r="L345" s="8">
        <f>'Model inputs'!K345+'Model inputs'!L408-'Model inputs'!L388</f>
        <v>33.63182857945645</v>
      </c>
      <c r="M345" s="8">
        <f>'Model inputs'!L345+'Model inputs'!M408-'Model inputs'!M388</f>
        <v>35.62287372207276</v>
      </c>
      <c r="N345" s="8">
        <f>'Model inputs'!M345+'Model inputs'!N408-'Model inputs'!N388</f>
        <v>37.55418751041058</v>
      </c>
    </row>
    <row r="346" outlineLevel="1">
      <c r="A346" t="inlineStr" s="19">
        <is>
          <t xml:space="preserve">Ending customers &gt; Household</t>
        </is>
      </c>
      <c r="B346" s="8">
        <f>IF('Model inputs'!B33="","",'Model inputs'!B33)</f>
        <v>40</v>
      </c>
      <c r="C346" s="8">
        <f>IF('Model inputs'!C33="","",'Model inputs'!C33)</f>
        <v>52.8</v>
      </c>
      <c r="D346" s="8">
        <f>IF('Model inputs'!D33="","",'Model inputs'!D33)</f>
        <v>64.576</v>
      </c>
      <c r="E346" s="8">
        <f>IF('Model inputs'!E33="","",'Model inputs'!E33)</f>
        <v>75.40992</v>
      </c>
      <c r="F346" s="8">
        <f>IF('Model inputs'!F33="","",'Model inputs'!F33)</f>
        <v>85.3771264</v>
      </c>
      <c r="G346" s="8">
        <f>IF('Model inputs'!G33="","",'Model inputs'!G33)</f>
        <v>94.54695628799999</v>
      </c>
      <c r="H346" s="8">
        <f>IF('Model inputs'!H33="","",'Model inputs'!H33)</f>
        <v>102.98319978496</v>
      </c>
      <c r="I346" s="8">
        <f>'Model inputs'!H33+'Model inputs'!I409-'Model inputs'!I389</f>
        <v>110.7445438021632</v>
      </c>
      <c r="J346" s="8">
        <f>'Model inputs'!I346+'Model inputs'!J409-'Model inputs'!J389</f>
        <v>117.88498029799014</v>
      </c>
      <c r="K346" s="8">
        <f>'Model inputs'!J346+'Model inputs'!K409-'Model inputs'!K389</f>
        <v>124.45418187415092</v>
      </c>
      <c r="L346" s="8">
        <f>'Model inputs'!K346+'Model inputs'!L409-'Model inputs'!L389</f>
        <v>130.49784732421884</v>
      </c>
      <c r="M346" s="8">
        <f>'Model inputs'!L346+'Model inputs'!M409-'Model inputs'!M389</f>
        <v>136.05801953828134</v>
      </c>
      <c r="N346" s="8">
        <f>'Model inputs'!M346+'Model inputs'!N409-'Model inputs'!N389</f>
        <v>141.17337797521884</v>
      </c>
    </row>
    <row r="347">
      <c r="A347" t="inlineStr" s="18">
        <is>
          <t xml:space="preserve">Illustration policy selected (1 = yes, assumed)</t>
        </is>
      </c>
      <c r="O347" s="16">
        <v>0</v>
      </c>
    </row>
    <row r="348" outlineLevel="1">
      <c r="A348" t="inlineStr" s="19">
        <is>
          <t xml:space="preserve">Illustration policy selected (1 = yes, assumed) &gt; Full (8 pictures)</t>
        </is>
      </c>
      <c r="O348" s="14">
        <f>'Model inputs'!O271</f>
        <v>0</v>
      </c>
    </row>
    <row r="349" outlineLevel="1">
      <c r="A349" t="inlineStr" s="19">
        <is>
          <t xml:space="preserve">Illustration policy selected (1 = yes, assumed) &gt; Half (4 pictures)</t>
        </is>
      </c>
      <c r="O349" s="14">
        <f>'Model inputs'!O272</f>
        <v>1</v>
      </c>
    </row>
    <row r="350" outlineLevel="1">
      <c r="A350" t="inlineStr" s="19">
        <is>
          <t xml:space="preserve">Illustration policy selected (1 = yes, assumed) &gt; Text only (0)</t>
        </is>
      </c>
      <c r="O350" s="14">
        <f>'Model inputs'!O273</f>
        <v>0</v>
      </c>
    </row>
    <row r="351">
      <c r="A351" t="inlineStr" s="18">
        <is>
          <t xml:space="preserve">Illustration policy selected (1 = yes, assumed)</t>
        </is>
      </c>
      <c r="O351" s="16">
        <v>0</v>
      </c>
    </row>
    <row r="352" outlineLevel="1">
      <c r="A352" t="inlineStr" s="19">
        <is>
          <t xml:space="preserve">Illustration policy selected (1 = yes, assumed) &gt; Full (8 pictures)</t>
        </is>
      </c>
      <c r="O352" s="14">
        <f>'Model inputs'!O271</f>
        <v>0</v>
      </c>
    </row>
    <row r="353" outlineLevel="1">
      <c r="A353" t="inlineStr" s="19">
        <is>
          <t xml:space="preserve">Illustration policy selected (1 = yes, assumed) &gt; Half (4 pictures)</t>
        </is>
      </c>
      <c r="O353" s="14">
        <f>'Model inputs'!O272</f>
        <v>1</v>
      </c>
    </row>
    <row r="354" outlineLevel="1">
      <c r="A354" t="inlineStr" s="19">
        <is>
          <t xml:space="preserve">Illustration policy selected (1 = yes, assumed) &gt; Text only (0)</t>
        </is>
      </c>
      <c r="O354" s="14">
        <f>'Model inputs'!O273</f>
        <v>0</v>
      </c>
    </row>
    <row r="355">
      <c r="A355" t="inlineStr" s="18">
        <is>
          <t xml:space="preserve">Picture and narration cost per story (USD, derived)</t>
        </is>
      </c>
      <c r="O355" s="24">
        <f>'Model inputs'!O410*'Model inputs'!O393+'Model inputs'!O391*'Model inputs'!O392</f>
        <v>0.016</v>
      </c>
    </row>
    <row r="356" outlineLevel="1">
      <c r="A356" t="inlineStr" s="19">
        <is>
          <t xml:space="preserve">Picture and narration cost per story (USD, derived) &gt; Full (8 pictures)</t>
        </is>
      </c>
      <c r="O356" s="20">
        <f>'Model inputs'!O411*'Model inputs'!O393+'Model inputs'!O391*'Model inputs'!O392</f>
        <v>0.656</v>
      </c>
    </row>
    <row r="357" outlineLevel="1">
      <c r="A357" t="inlineStr" s="19">
        <is>
          <t xml:space="preserve">Picture and narration cost per story (USD, derived) &gt; Half (4 pictures)</t>
        </is>
      </c>
      <c r="O357" s="20">
        <f>'Model inputs'!O412*'Model inputs'!O393+'Model inputs'!O391*'Model inputs'!O392</f>
        <v>0.336</v>
      </c>
    </row>
    <row r="358" outlineLevel="1">
      <c r="A358" t="inlineStr" s="19">
        <is>
          <t xml:space="preserve">Picture and narration cost per story (USD, derived) &gt; Text only (0)</t>
        </is>
      </c>
      <c r="O358" s="20">
        <f>'Model inputs'!O413*'Model inputs'!O393+'Model inputs'!O391*'Model inputs'!O392</f>
        <v>0.016</v>
      </c>
    </row>
    <row r="359">
      <c r="A359" t="inlineStr" s="18">
        <is>
          <t xml:space="preserve">Picture and narration cost per story (USD, derived)</t>
        </is>
      </c>
      <c r="O359" s="24">
        <f>'Model inputs'!O414*'Model inputs'!O400+'Model inputs'!O398*'Model inputs'!O399</f>
        <v>0.016</v>
      </c>
    </row>
    <row r="360" outlineLevel="1">
      <c r="A360" t="inlineStr" s="19">
        <is>
          <t xml:space="preserve">Picture and narration cost per story (USD, derived) &gt; Full (8 pictures)</t>
        </is>
      </c>
      <c r="O360" s="20">
        <f>'Model inputs'!O415*'Model inputs'!O400+'Model inputs'!O398*'Model inputs'!O399</f>
        <v>0.336</v>
      </c>
    </row>
    <row r="361" outlineLevel="1">
      <c r="A361" t="inlineStr" s="19">
        <is>
          <t xml:space="preserve">Picture and narration cost per story (USD, derived) &gt; Half (4 pictures)</t>
        </is>
      </c>
      <c r="O361" s="20">
        <f>'Model inputs'!O416*'Model inputs'!O400+'Model inputs'!O398*'Model inputs'!O399</f>
        <v>0.176</v>
      </c>
    </row>
    <row r="362" outlineLevel="1">
      <c r="A362" t="inlineStr" s="19">
        <is>
          <t xml:space="preserve">Picture and narration cost per story (USD, derived) &gt; Text only (0)</t>
        </is>
      </c>
      <c r="O362" s="20">
        <f>'Model inputs'!O417*'Model inputs'!O400+'Model inputs'!O398*'Model inputs'!O399</f>
        <v>0.016</v>
      </c>
    </row>
    <row r="363">
      <c r="A363" t="inlineStr" s="18">
        <is>
          <t xml:space="preserve">Pictures per story (policy)</t>
        </is>
      </c>
      <c r="O363" s="16">
        <v>0</v>
      </c>
    </row>
    <row r="364" outlineLevel="1">
      <c r="A364" t="inlineStr" s="19">
        <is>
          <t xml:space="preserve">Pictures per story (policy) &gt; Full (8 pictures)</t>
        </is>
      </c>
      <c r="O364" s="14">
        <f>8</f>
        <v>8</v>
      </c>
    </row>
    <row r="365" outlineLevel="1">
      <c r="A365" t="inlineStr" s="19">
        <is>
          <t xml:space="preserve">Pictures per story (policy) &gt; Half (4 pictures)</t>
        </is>
      </c>
      <c r="O365" s="14">
        <f>4</f>
        <v>4</v>
      </c>
    </row>
    <row r="366" outlineLevel="1">
      <c r="A366" t="inlineStr" s="19">
        <is>
          <t xml:space="preserve">Pictures per story (policy) &gt; Text only (0)</t>
        </is>
      </c>
      <c r="O366" s="14">
        <f>0</f>
        <v>0</v>
      </c>
    </row>
    <row r="367">
      <c r="A367" t="inlineStr" s="18">
        <is>
          <t xml:space="preserve">Share of gated uplift paid (derived)</t>
        </is>
      </c>
      <c r="O367" s="25">
        <v>0.7</v>
      </c>
    </row>
    <row r="368" outlineLevel="1">
      <c r="A368" t="inlineStr" s="19">
        <is>
          <t xml:space="preserve">Share of gated uplift paid (derived) &gt; Sampled</t>
        </is>
      </c>
      <c r="O368" s="21">
        <f>IF(EXACT("Sampled","Verify all"),1,IF('Model inputs'!O338="","",'Model inputs'!O338))</f>
        <v>0.7</v>
      </c>
    </row>
    <row r="369" outlineLevel="1">
      <c r="A369" t="inlineStr" s="19">
        <is>
          <t xml:space="preserve">Share of gated uplift paid (derived) &gt; Verify all</t>
        </is>
      </c>
      <c r="O369" s="21">
        <f>IF(EXACT("Verify all","Verify all"),1,IF('Model inputs'!O338="","",'Model inputs'!O338))</f>
        <v>1</v>
      </c>
    </row>
    <row r="370">
      <c r="A370" t="inlineStr" s="18">
        <is>
          <t xml:space="preserve">Spans per story (assumed placeholder) · Spans per month (derived) · Unit economics by plan, month 6 (Main vs Growth vs Downside) · Downside · Downside</t>
        </is>
      </c>
      <c r="O370" s="14">
        <f>'Model inputs'!O106</f>
        <v>150</v>
      </c>
    </row>
    <row r="371">
      <c r="A371" t="inlineStr" s="18">
        <is>
          <t xml:space="preserve">Spans per story (assumed placeholder) · Spans per month (derived) · Unit economics by plan, month 6 (Main vs Growth vs Downside) · Growth · Growth</t>
        </is>
      </c>
      <c r="O371" s="14">
        <f>'Model inputs'!O106</f>
        <v>150</v>
      </c>
    </row>
    <row r="372">
      <c r="A372" t="inlineStr" s="18">
        <is>
          <t xml:space="preserve">Text and verification cost per story (USD, derived)</t>
        </is>
      </c>
      <c r="O372" s="24">
        <f>'Model inputs'!O395+'Model inputs'!O418*('Model inputs'!O396-'Model inputs'!O395)</f>
        <v>0.01684</v>
      </c>
    </row>
    <row r="373" outlineLevel="1">
      <c r="A373" t="inlineStr" s="19">
        <is>
          <t xml:space="preserve">Text and verification cost per story (USD, derived) &gt; Sampled</t>
        </is>
      </c>
      <c r="O373" s="20">
        <f>'Model inputs'!O395+'Model inputs'!O419*('Model inputs'!O396-'Model inputs'!O395)</f>
        <v>0.01684</v>
      </c>
    </row>
    <row r="374" outlineLevel="1">
      <c r="A374" t="inlineStr" s="19">
        <is>
          <t xml:space="preserve">Text and verification cost per story (USD, derived) &gt; Verify all</t>
        </is>
      </c>
      <c r="O374" s="20">
        <f>'Model inputs'!O395+'Model inputs'!O420*('Model inputs'!O396-'Model inputs'!O395)</f>
        <v>0.0199</v>
      </c>
    </row>
    <row r="375">
      <c r="A375" t="inlineStr" s="18">
        <is>
          <t xml:space="preserve">Text and verification cost per story (USD, derived)</t>
        </is>
      </c>
      <c r="O375" s="24">
        <f>'Model inputs'!O402+'Model inputs'!O421*('Model inputs'!O403-'Model inputs'!O402)</f>
        <v>0.01684</v>
      </c>
    </row>
    <row r="376" outlineLevel="1">
      <c r="A376" t="inlineStr" s="19">
        <is>
          <t xml:space="preserve">Text and verification cost per story (USD, derived) &gt; Sampled</t>
        </is>
      </c>
      <c r="O376" s="20">
        <f>'Model inputs'!O402+'Model inputs'!O422*('Model inputs'!O403-'Model inputs'!O402)</f>
        <v>0.01684</v>
      </c>
    </row>
    <row r="377" outlineLevel="1">
      <c r="A377" t="inlineStr" s="19">
        <is>
          <t xml:space="preserve">Text and verification cost per story (USD, derived) &gt; Verify all</t>
        </is>
      </c>
      <c r="O377" s="20">
        <f>'Model inputs'!O402+'Model inputs'!O423*('Model inputs'!O403-'Model inputs'!O402)</f>
        <v>0.0199</v>
      </c>
    </row>
    <row r="378">
      <c r="A378" t="inlineStr" s="18">
        <is>
          <t xml:space="preserve">Verification policy selected (1 = yes, assumed)</t>
        </is>
      </c>
      <c r="O378" s="16">
        <v>0</v>
      </c>
    </row>
    <row r="379" outlineLevel="1">
      <c r="A379" t="inlineStr" s="19">
        <is>
          <t xml:space="preserve">Verification policy selected (1 = yes, assumed) &gt; Sampled</t>
        </is>
      </c>
      <c r="O379" s="14">
        <f>'Model inputs'!O332</f>
        <v>0</v>
      </c>
    </row>
    <row r="380" outlineLevel="1">
      <c r="A380" t="inlineStr" s="19">
        <is>
          <t xml:space="preserve">Verification policy selected (1 = yes, assumed) &gt; Verify all</t>
        </is>
      </c>
      <c r="O380" s="14">
        <f>'Model inputs'!O333</f>
        <v>1</v>
      </c>
    </row>
    <row r="381">
      <c r="A381" t="inlineStr" s="18">
        <is>
          <t xml:space="preserve">Verification policy selected (1 = yes, assumed)</t>
        </is>
      </c>
      <c r="O381" s="16">
        <v>0</v>
      </c>
    </row>
    <row r="382" outlineLevel="1">
      <c r="A382" t="inlineStr" s="19">
        <is>
          <t xml:space="preserve">Verification policy selected (1 = yes, assumed) &gt; Sampled</t>
        </is>
      </c>
      <c r="O382" s="14">
        <f>'Model inputs'!O332</f>
        <v>0</v>
      </c>
    </row>
    <row r="383" outlineLevel="1">
      <c r="A383" t="inlineStr" s="19">
        <is>
          <t xml:space="preserve">Verification policy selected (1 = yes, assumed) &gt; Verify all</t>
        </is>
      </c>
      <c r="O383" s="14">
        <f>'Model inputs'!O333</f>
        <v>1</v>
      </c>
    </row>
    <row r="384">
      <c r="A384" t="inlineStr" s="18">
        <is>
          <t xml:space="preserve">Churned customers</t>
        </is>
      </c>
      <c r="B384" s="6">
        <f>IF('Model inputs'!B12="","",'Model inputs'!B12)</f>
        <v>0</v>
      </c>
      <c r="C384" s="6">
        <f>IF('Model inputs'!C12="","",'Model inputs'!C12)</f>
        <v>6.6</v>
      </c>
      <c r="D384" s="6">
        <f>IF('Model inputs'!D12="","",'Model inputs'!D12)</f>
        <v>6.9239999999999995</v>
      </c>
      <c r="E384" s="6">
        <f>IF('Model inputs'!E12="","",'Model inputs'!E12)</f>
        <v>7.201560000000001</v>
      </c>
      <c r="F384" s="6">
        <f>IF('Model inputs'!F12="","",'Model inputs'!F12)</f>
        <v>7.4395164</v>
      </c>
      <c r="G384" s="6">
        <f>IF('Model inputs'!G12="","",'Model inputs'!G12)</f>
        <v>7.643687916000001</v>
      </c>
      <c r="H384" s="6">
        <f>IF('Model inputs'!H12="","",'Model inputs'!H12)</f>
        <v>7.8190277660400005</v>
      </c>
      <c r="I384" s="6">
        <f>SUM('Model inputs'!I385,'Model inputs'!I386)</f>
        <v>7.9697530563276</v>
      </c>
      <c r="J384" s="6">
        <f>SUM('Model inputs'!J385,'Model inputs'!J386)</f>
        <v>8.099454785760445</v>
      </c>
      <c r="K384" s="6">
        <f>SUM('Model inputs'!K385,'Model inputs'!K386)</f>
        <v>8.211191374505443</v>
      </c>
      <c r="L384" s="6">
        <f>SUM('Model inputs'!L385,'Model inputs'!L386)</f>
        <v>8.307568186542147</v>
      </c>
      <c r="M384" s="6">
        <f>SUM('Model inputs'!M385,'Model inputs'!M386)</f>
        <v>8.390805145680595</v>
      </c>
      <c r="N384" s="6">
        <f>SUM('Model inputs'!N385,'Model inputs'!N386)</f>
        <v>8.462794229721089</v>
      </c>
    </row>
    <row r="385" outlineLevel="1">
      <c r="A385" t="inlineStr" s="19">
        <is>
          <t xml:space="preserve">Churned customers &gt; Classroom</t>
        </is>
      </c>
      <c r="B385" s="8">
        <f>IF('Model inputs'!B13="","",'Model inputs'!B13)</f>
        <v>0</v>
      </c>
      <c r="C385" s="8">
        <f>IF('Model inputs'!C13="","",'Model inputs'!C13)</f>
        <v>0.6</v>
      </c>
      <c r="D385" s="8">
        <f>IF('Model inputs'!D13="","",'Model inputs'!D13)</f>
        <v>0.624</v>
      </c>
      <c r="E385" s="8">
        <f>IF('Model inputs'!E13="","",'Model inputs'!E13)</f>
        <v>0.6465599999999999</v>
      </c>
      <c r="F385" s="8">
        <f>IF('Model inputs'!F13="","",'Model inputs'!F13)</f>
        <v>0.6677664</v>
      </c>
      <c r="G385" s="8">
        <f>IF('Model inputs'!G13="","",'Model inputs'!G13)</f>
        <v>0.687700416</v>
      </c>
      <c r="H385" s="8">
        <f>IF('Model inputs'!H13="","",'Model inputs'!H13)</f>
        <v>0.7064383910400001</v>
      </c>
      <c r="I385" s="8">
        <f>'Model inputs'!H29*'Model inputs'!O190</f>
        <v>0.7240520875776</v>
      </c>
      <c r="J385" s="8">
        <f>'Model inputs'!I342*'Model inputs'!O190</f>
        <v>0.7406089623229439</v>
      </c>
      <c r="K385" s="8">
        <f>'Model inputs'!J342*'Model inputs'!O190</f>
        <v>0.7561724245835673</v>
      </c>
      <c r="L385" s="8">
        <f>'Model inputs'!K342*'Model inputs'!O190</f>
        <v>0.7708020791085531</v>
      </c>
      <c r="M385" s="8">
        <f>'Model inputs'!L342*'Model inputs'!O190</f>
        <v>0.78455395436204</v>
      </c>
      <c r="N385" s="8">
        <f>'Model inputs'!M342*'Model inputs'!O190</f>
        <v>0.7974807171003176</v>
      </c>
    </row>
    <row r="386" outlineLevel="1">
      <c r="A386" t="inlineStr" s="19">
        <is>
          <t xml:space="preserve">Churned customers &gt; Household</t>
        </is>
      </c>
      <c r="B386" s="8">
        <f>IF('Model inputs'!B14="","",'Model inputs'!B14)</f>
        <v>0</v>
      </c>
      <c r="C386" s="8">
        <f>IF('Model inputs'!C14="","",'Model inputs'!C14)</f>
        <v>6</v>
      </c>
      <c r="D386" s="8">
        <f>IF('Model inputs'!D14="","",'Model inputs'!D14)</f>
        <v>6.3</v>
      </c>
      <c r="E386" s="8">
        <f>IF('Model inputs'!E14="","",'Model inputs'!E14)</f>
        <v>6.555000000000001</v>
      </c>
      <c r="F386" s="8">
        <f>IF('Model inputs'!F14="","",'Model inputs'!F14)</f>
        <v>6.77175</v>
      </c>
      <c r="G386" s="8">
        <f>IF('Model inputs'!G14="","",'Model inputs'!G14)</f>
        <v>6.955987500000001</v>
      </c>
      <c r="H386" s="8">
        <f>IF('Model inputs'!H14="","",'Model inputs'!H14)</f>
        <v>7.112589375000001</v>
      </c>
      <c r="I386" s="8">
        <f>'Model inputs'!H30*'Model inputs'!O191</f>
        <v>7.2457009687500005</v>
      </c>
      <c r="J386" s="8">
        <f>'Model inputs'!I343*'Model inputs'!O191</f>
        <v>7.358845823437501</v>
      </c>
      <c r="K386" s="8">
        <f>'Model inputs'!J343*'Model inputs'!O191</f>
        <v>7.455018949921876</v>
      </c>
      <c r="L386" s="8">
        <f>'Model inputs'!K343*'Model inputs'!O191</f>
        <v>7.5367661074335945</v>
      </c>
      <c r="M386" s="8">
        <f>'Model inputs'!L343*'Model inputs'!O191</f>
        <v>7.606251191318555</v>
      </c>
      <c r="N386" s="8">
        <f>'Model inputs'!M343*'Model inputs'!O191</f>
        <v>7.665313512620772</v>
      </c>
    </row>
    <row r="387">
      <c r="A387" t="inlineStr" s="18">
        <is>
          <t xml:space="preserve">Churned customers</t>
        </is>
      </c>
      <c r="B387" s="6">
        <f>IF('Model inputs'!B15="","",'Model inputs'!B15)</f>
        <v>0</v>
      </c>
      <c r="C387" s="6">
        <f>IF('Model inputs'!C15="","",'Model inputs'!C15)</f>
        <v>3.5</v>
      </c>
      <c r="D387" s="6">
        <f>IF('Model inputs'!D15="","",'Model inputs'!D15)</f>
        <v>4.605</v>
      </c>
      <c r="E387" s="6">
        <f>IF('Model inputs'!E15="","",'Model inputs'!E15)</f>
        <v>5.62565</v>
      </c>
      <c r="F387" s="6">
        <f>IF('Model inputs'!F15="","",'Model inputs'!F15)</f>
        <v>6.5685765</v>
      </c>
      <c r="G387" s="6">
        <f>IF('Model inputs'!G15="","",'Model inputs'!G15)</f>
        <v>7.439879524999999</v>
      </c>
      <c r="H387" s="6">
        <f>IF('Model inputs'!H15="","",'Model inputs'!H15)</f>
        <v>8.245174633649999</v>
      </c>
      <c r="I387" s="6">
        <f>SUM('Model inputs'!I388,'Model inputs'!I389)</f>
        <v>8.9896315694885</v>
      </c>
      <c r="J387" s="6">
        <f>SUM('Model inputs'!J388,'Model inputs'!J389)</f>
        <v>9.678009823264004</v>
      </c>
      <c r="K387" s="6">
        <f>SUM('Model inputs'!K388,'Model inputs'!K389)</f>
        <v>10.314691353357432</v>
      </c>
      <c r="L387" s="6">
        <f>SUM('Model inputs'!L388,'Model inputs'!L389)</f>
        <v>10.903710691564747</v>
      </c>
      <c r="M387" s="6">
        <f>SUM('Model inputs'!M388,'Model inputs'!M389)</f>
        <v>11.448782643321202</v>
      </c>
      <c r="N387" s="6">
        <f>SUM('Model inputs'!N388,'Model inputs'!N389)</f>
        <v>11.95332777472469</v>
      </c>
    </row>
    <row r="388" outlineLevel="1">
      <c r="A388" t="inlineStr" s="19">
        <is>
          <t xml:space="preserve">Churned customers &gt; Classroom</t>
        </is>
      </c>
      <c r="B388" s="8">
        <f>IF('Model inputs'!B16="","",'Model inputs'!B16)</f>
        <v>0</v>
      </c>
      <c r="C388" s="8">
        <f>IF('Model inputs'!C16="","",'Model inputs'!C16)</f>
        <v>0.3</v>
      </c>
      <c r="D388" s="8">
        <f>IF('Model inputs'!D16="","",'Model inputs'!D16)</f>
        <v>0.38099999999999995</v>
      </c>
      <c r="E388" s="8">
        <f>IF('Model inputs'!E16="","",'Model inputs'!E16)</f>
        <v>0.45957</v>
      </c>
      <c r="F388" s="8">
        <f>IF('Model inputs'!F16="","",'Model inputs'!F16)</f>
        <v>0.5357829</v>
      </c>
      <c r="G388" s="8">
        <f>IF('Model inputs'!G16="","",'Model inputs'!G16)</f>
        <v>0.6097094129999999</v>
      </c>
      <c r="H388" s="8">
        <f>IF('Model inputs'!H16="","",'Model inputs'!H16)</f>
        <v>0.6814181306099999</v>
      </c>
      <c r="I388" s="8">
        <f>'Model inputs'!H32*'Model inputs'!O193</f>
        <v>0.7509755866917</v>
      </c>
      <c r="J388" s="8">
        <f>'Model inputs'!I345*'Model inputs'!O193</f>
        <v>0.818446319090949</v>
      </c>
      <c r="K388" s="8">
        <f>'Model inputs'!J345*'Model inputs'!O193</f>
        <v>0.8838929295182205</v>
      </c>
      <c r="L388" s="8">
        <f>'Model inputs'!K345*'Model inputs'!O193</f>
        <v>0.9473761416326739</v>
      </c>
      <c r="M388" s="8">
        <f>'Model inputs'!L345*'Model inputs'!O193</f>
        <v>1.0089548573836935</v>
      </c>
      <c r="N388" s="8">
        <f>'Model inputs'!M345*'Model inputs'!O193</f>
        <v>1.0686862116621827</v>
      </c>
    </row>
    <row r="389" outlineLevel="1">
      <c r="A389" t="inlineStr" s="19">
        <is>
          <t xml:space="preserve">Churned customers &gt; Household</t>
        </is>
      </c>
      <c r="B389" s="8">
        <f>IF('Model inputs'!B17="","",'Model inputs'!B17)</f>
        <v>0</v>
      </c>
      <c r="C389" s="8">
        <f>IF('Model inputs'!C17="","",'Model inputs'!C17)</f>
        <v>3.2</v>
      </c>
      <c r="D389" s="8">
        <f>IF('Model inputs'!D17="","",'Model inputs'!D17)</f>
        <v>4.224</v>
      </c>
      <c r="E389" s="8">
        <f>IF('Model inputs'!E17="","",'Model inputs'!E17)</f>
        <v>5.16608</v>
      </c>
      <c r="F389" s="8">
        <f>IF('Model inputs'!F17="","",'Model inputs'!F17)</f>
        <v>6.0327936</v>
      </c>
      <c r="G389" s="8">
        <f>IF('Model inputs'!G17="","",'Model inputs'!G17)</f>
        <v>6.830170111999999</v>
      </c>
      <c r="H389" s="8">
        <f>IF('Model inputs'!H17="","",'Model inputs'!H17)</f>
        <v>7.56375650304</v>
      </c>
      <c r="I389" s="8">
        <f>'Model inputs'!H33*'Model inputs'!O194</f>
        <v>8.2386559827968</v>
      </c>
      <c r="J389" s="8">
        <f>'Model inputs'!I346*'Model inputs'!O194</f>
        <v>8.859563504173055</v>
      </c>
      <c r="K389" s="8">
        <f>'Model inputs'!J346*'Model inputs'!O194</f>
        <v>9.430798423839212</v>
      </c>
      <c r="L389" s="8">
        <f>'Model inputs'!K346*'Model inputs'!O194</f>
        <v>9.956334549932073</v>
      </c>
      <c r="M389" s="8">
        <f>'Model inputs'!L346*'Model inputs'!O194</f>
        <v>10.439827785937508</v>
      </c>
      <c r="N389" s="8">
        <f>'Model inputs'!M346*'Model inputs'!O194</f>
        <v>10.884641563062507</v>
      </c>
    </row>
    <row r="390">
      <c r="A390" t="inlineStr" s="18">
        <is>
          <t xml:space="preserve">Cost input value</t>
        </is>
      </c>
      <c r="O390" s="26">
        <v>0</v>
      </c>
    </row>
    <row r="391" outlineLevel="1">
      <c r="A391" t="inlineStr" s="19">
        <is>
          <t xml:space="preserve">Cost input value &gt; Narration price per page</t>
        </is>
      </c>
      <c r="O391" s="27">
        <f>'Model inputs'!O335</f>
        <v>0.002</v>
      </c>
    </row>
    <row r="392" outlineLevel="1">
      <c r="A392" t="inlineStr" s="19">
        <is>
          <t xml:space="preserve">Cost input value &gt; Pages per story</t>
        </is>
      </c>
      <c r="O392" s="27">
        <f>'Model inputs'!O336</f>
        <v>8</v>
      </c>
    </row>
    <row r="393" outlineLevel="1">
      <c r="A393" t="inlineStr" s="19">
        <is>
          <t xml:space="preserve">Cost input value &gt; Picture price each</t>
        </is>
      </c>
      <c r="O393" s="27">
        <f>0.08</f>
        <v>0.08</v>
      </c>
    </row>
    <row r="394" outlineLevel="1">
      <c r="A394" t="inlineStr" s="19">
        <is>
          <t xml:space="preserve">Cost input value &gt; Sampled share of gated uplift</t>
        </is>
      </c>
      <c r="O394" s="27">
        <f>'Model inputs'!O338</f>
        <v>0.7</v>
      </c>
    </row>
    <row r="395" outlineLevel="1">
      <c r="A395" t="inlineStr" s="19">
        <is>
          <t xml:space="preserve">Cost input value &gt; Text and verification B0 ungated</t>
        </is>
      </c>
      <c r="O395" s="27">
        <f>'Model inputs'!O339</f>
        <v>0.0097</v>
      </c>
    </row>
    <row r="396" outlineLevel="1">
      <c r="A396" t="inlineStr" s="19">
        <is>
          <t xml:space="preserve">Cost input value &gt; Text and verification B1 gated</t>
        </is>
      </c>
      <c r="O396" s="27">
        <f>'Model inputs'!O340</f>
        <v>0.0199</v>
      </c>
    </row>
    <row r="397">
      <c r="A397" t="inlineStr" s="18">
        <is>
          <t xml:space="preserve">Cost input value</t>
        </is>
      </c>
      <c r="O397" s="26">
        <v>0</v>
      </c>
    </row>
    <row r="398" outlineLevel="1">
      <c r="A398" t="inlineStr" s="19">
        <is>
          <t xml:space="preserve">Cost input value &gt; Narration price per page</t>
        </is>
      </c>
      <c r="O398" s="27">
        <f>'Model inputs'!O335</f>
        <v>0.002</v>
      </c>
    </row>
    <row r="399" outlineLevel="1">
      <c r="A399" t="inlineStr" s="19">
        <is>
          <t xml:space="preserve">Cost input value &gt; Pages per story</t>
        </is>
      </c>
      <c r="O399" s="27">
        <f>'Model inputs'!O336</f>
        <v>8</v>
      </c>
    </row>
    <row r="400" outlineLevel="1">
      <c r="A400" t="inlineStr" s="19">
        <is>
          <t xml:space="preserve">Cost input value &gt; Picture price each</t>
        </is>
      </c>
      <c r="O400" s="27">
        <f>'Model inputs'!O337</f>
        <v>0.04</v>
      </c>
    </row>
    <row r="401" outlineLevel="1">
      <c r="A401" t="inlineStr" s="19">
        <is>
          <t xml:space="preserve">Cost input value &gt; Sampled share of gated uplift</t>
        </is>
      </c>
      <c r="O401" s="27">
        <f>'Model inputs'!O338</f>
        <v>0.7</v>
      </c>
    </row>
    <row r="402" outlineLevel="1">
      <c r="A402" t="inlineStr" s="19">
        <is>
          <t xml:space="preserve">Cost input value &gt; Text and verification B0 ungated</t>
        </is>
      </c>
      <c r="O402" s="27">
        <f>'Model inputs'!O339</f>
        <v>0.0097</v>
      </c>
    </row>
    <row r="403" outlineLevel="1">
      <c r="A403" t="inlineStr" s="19">
        <is>
          <t xml:space="preserve">Cost input value &gt; Text and verification B1 gated</t>
        </is>
      </c>
      <c r="O403" s="27">
        <f>'Model inputs'!O340</f>
        <v>0.0199</v>
      </c>
    </row>
    <row r="404">
      <c r="A404" t="inlineStr" s="18">
        <is>
          <t xml:space="preserve">New customers</t>
        </is>
      </c>
      <c r="B404" s="6">
        <f>IF('Model inputs'!B79="","",'Model inputs'!B79)</f>
        <v>0</v>
      </c>
      <c r="C404" s="6">
        <f>IF('Model inputs'!C79="","",'Model inputs'!C79)</f>
        <v>9</v>
      </c>
      <c r="D404" s="6">
        <f>IF('Model inputs'!D79="","",'Model inputs'!D79)</f>
        <v>9</v>
      </c>
      <c r="E404" s="6">
        <f>IF('Model inputs'!E79="","",'Model inputs'!E79)</f>
        <v>9</v>
      </c>
      <c r="F404" s="6">
        <f>IF('Model inputs'!F79="","",'Model inputs'!F79)</f>
        <v>9</v>
      </c>
      <c r="G404" s="6">
        <f>IF('Model inputs'!G79="","",'Model inputs'!G79)</f>
        <v>9</v>
      </c>
      <c r="H404" s="6">
        <f>IF('Model inputs'!H79="","",'Model inputs'!H79)</f>
        <v>9</v>
      </c>
      <c r="I404" s="6">
        <f>SUM('Model inputs'!I405,'Model inputs'!I406)</f>
        <v>9</v>
      </c>
      <c r="J404" s="6">
        <f>SUM('Model inputs'!J405,'Model inputs'!J406)</f>
        <v>9</v>
      </c>
      <c r="K404" s="6">
        <f>SUM('Model inputs'!K405,'Model inputs'!K406)</f>
        <v>9</v>
      </c>
      <c r="L404" s="6">
        <f>SUM('Model inputs'!L405,'Model inputs'!L406)</f>
        <v>9</v>
      </c>
      <c r="M404" s="6">
        <f>SUM('Model inputs'!M405,'Model inputs'!M406)</f>
        <v>9</v>
      </c>
      <c r="N404" s="6">
        <f>SUM('Model inputs'!N405,'Model inputs'!N406)</f>
        <v>9</v>
      </c>
    </row>
    <row r="405" outlineLevel="1">
      <c r="A405" t="inlineStr" s="19">
        <is>
          <t xml:space="preserve">New customers &gt; Classroom</t>
        </is>
      </c>
      <c r="B405" s="8">
        <f>IF('Model inputs'!B80="","",'Model inputs'!B80)</f>
        <v>0</v>
      </c>
      <c r="C405" s="8">
        <f>IF('Model inputs'!C80="","",'Model inputs'!C80)</f>
        <v>1</v>
      </c>
      <c r="D405" s="8">
        <f>IF('Model inputs'!D80="","",'Model inputs'!D80)</f>
        <v>1</v>
      </c>
      <c r="E405" s="8">
        <f>IF('Model inputs'!E80="","",'Model inputs'!E80)</f>
        <v>1</v>
      </c>
      <c r="F405" s="8">
        <f>IF('Model inputs'!F80="","",'Model inputs'!F80)</f>
        <v>1</v>
      </c>
      <c r="G405" s="8">
        <f>IF('Model inputs'!G80="","",'Model inputs'!G80)</f>
        <v>1</v>
      </c>
      <c r="H405" s="8">
        <f>IF('Model inputs'!H80="","",'Model inputs'!H80)</f>
        <v>1</v>
      </c>
      <c r="I405" s="8">
        <f>IF('Model inputs'!O203="","",'Model inputs'!O203)</f>
        <v>1</v>
      </c>
      <c r="J405" s="8">
        <f>IF('Model inputs'!O203="","",'Model inputs'!O203)</f>
        <v>1</v>
      </c>
      <c r="K405" s="8">
        <f>IF('Model inputs'!O203="","",'Model inputs'!O203)</f>
        <v>1</v>
      </c>
      <c r="L405" s="8">
        <f>IF('Model inputs'!O203="","",'Model inputs'!O203)</f>
        <v>1</v>
      </c>
      <c r="M405" s="8">
        <f>IF('Model inputs'!O203="","",'Model inputs'!O203)</f>
        <v>1</v>
      </c>
      <c r="N405" s="8">
        <f>IF('Model inputs'!O203="","",'Model inputs'!O203)</f>
        <v>1</v>
      </c>
    </row>
    <row r="406" outlineLevel="1">
      <c r="A406" t="inlineStr" s="19">
        <is>
          <t xml:space="preserve">New customers &gt; Household</t>
        </is>
      </c>
      <c r="B406" s="8">
        <f>IF('Model inputs'!B81="","",'Model inputs'!B81)</f>
        <v>0</v>
      </c>
      <c r="C406" s="8">
        <f>IF('Model inputs'!C81="","",'Model inputs'!C81)</f>
        <v>8</v>
      </c>
      <c r="D406" s="8">
        <f>IF('Model inputs'!D81="","",'Model inputs'!D81)</f>
        <v>8</v>
      </c>
      <c r="E406" s="8">
        <f>IF('Model inputs'!E81="","",'Model inputs'!E81)</f>
        <v>8</v>
      </c>
      <c r="F406" s="8">
        <f>IF('Model inputs'!F81="","",'Model inputs'!F81)</f>
        <v>8</v>
      </c>
      <c r="G406" s="8">
        <f>IF('Model inputs'!G81="","",'Model inputs'!G81)</f>
        <v>8</v>
      </c>
      <c r="H406" s="8">
        <f>IF('Model inputs'!H81="","",'Model inputs'!H81)</f>
        <v>8</v>
      </c>
      <c r="I406" s="8">
        <f>IF('Model inputs'!O204="","",'Model inputs'!O204)</f>
        <v>8</v>
      </c>
      <c r="J406" s="8">
        <f>IF('Model inputs'!O204="","",'Model inputs'!O204)</f>
        <v>8</v>
      </c>
      <c r="K406" s="8">
        <f>IF('Model inputs'!O204="","",'Model inputs'!O204)</f>
        <v>8</v>
      </c>
      <c r="L406" s="8">
        <f>IF('Model inputs'!O204="","",'Model inputs'!O204)</f>
        <v>8</v>
      </c>
      <c r="M406" s="8">
        <f>IF('Model inputs'!O204="","",'Model inputs'!O204)</f>
        <v>8</v>
      </c>
      <c r="N406" s="8">
        <f>IF('Model inputs'!O204="","",'Model inputs'!O204)</f>
        <v>8</v>
      </c>
    </row>
    <row r="407">
      <c r="A407" t="inlineStr" s="18">
        <is>
          <t xml:space="preserve">New customers</t>
        </is>
      </c>
      <c r="B407" s="6">
        <f>IF('Model inputs'!B82="","",'Model inputs'!B82)</f>
        <v>0</v>
      </c>
      <c r="C407" s="6">
        <f>IF('Model inputs'!C82="","",'Model inputs'!C82)</f>
        <v>19</v>
      </c>
      <c r="D407" s="6">
        <f>IF('Model inputs'!D82="","",'Model inputs'!D82)</f>
        <v>19</v>
      </c>
      <c r="E407" s="6">
        <f>IF('Model inputs'!E82="","",'Model inputs'!E82)</f>
        <v>19</v>
      </c>
      <c r="F407" s="6">
        <f>IF('Model inputs'!F82="","",'Model inputs'!F82)</f>
        <v>19</v>
      </c>
      <c r="G407" s="6">
        <f>IF('Model inputs'!G82="","",'Model inputs'!G82)</f>
        <v>19</v>
      </c>
      <c r="H407" s="6">
        <f>IF('Model inputs'!H82="","",'Model inputs'!H82)</f>
        <v>19</v>
      </c>
      <c r="I407" s="6">
        <f>SUM('Model inputs'!I408,'Model inputs'!I409)</f>
        <v>19</v>
      </c>
      <c r="J407" s="6">
        <f>SUM('Model inputs'!J408,'Model inputs'!J409)</f>
        <v>19</v>
      </c>
      <c r="K407" s="6">
        <f>SUM('Model inputs'!K408,'Model inputs'!K409)</f>
        <v>19</v>
      </c>
      <c r="L407" s="6">
        <f>SUM('Model inputs'!L408,'Model inputs'!L409)</f>
        <v>19</v>
      </c>
      <c r="M407" s="6">
        <f>SUM('Model inputs'!M408,'Model inputs'!M409)</f>
        <v>19</v>
      </c>
      <c r="N407" s="6">
        <f>SUM('Model inputs'!N408,'Model inputs'!N409)</f>
        <v>19</v>
      </c>
    </row>
    <row r="408" outlineLevel="1">
      <c r="A408" t="inlineStr" s="19">
        <is>
          <t xml:space="preserve">New customers &gt; Classroom</t>
        </is>
      </c>
      <c r="B408" s="8">
        <f>IF('Model inputs'!B83="","",'Model inputs'!B83)</f>
        <v>0</v>
      </c>
      <c r="C408" s="8">
        <f>IF('Model inputs'!C83="","",'Model inputs'!C83)</f>
        <v>3</v>
      </c>
      <c r="D408" s="8">
        <f>IF('Model inputs'!D83="","",'Model inputs'!D83)</f>
        <v>3</v>
      </c>
      <c r="E408" s="8">
        <f>IF('Model inputs'!E83="","",'Model inputs'!E83)</f>
        <v>3</v>
      </c>
      <c r="F408" s="8">
        <f>IF('Model inputs'!F83="","",'Model inputs'!F83)</f>
        <v>3</v>
      </c>
      <c r="G408" s="8">
        <f>IF('Model inputs'!G83="","",'Model inputs'!G83)</f>
        <v>3</v>
      </c>
      <c r="H408" s="8">
        <f>IF('Model inputs'!H83="","",'Model inputs'!H83)</f>
        <v>3</v>
      </c>
      <c r="I408" s="8">
        <f>IF('Model inputs'!O206="","",'Model inputs'!O206)</f>
        <v>3</v>
      </c>
      <c r="J408" s="8">
        <f>IF('Model inputs'!O206="","",'Model inputs'!O206)</f>
        <v>3</v>
      </c>
      <c r="K408" s="8">
        <f>IF('Model inputs'!O206="","",'Model inputs'!O206)</f>
        <v>3</v>
      </c>
      <c r="L408" s="8">
        <f>IF('Model inputs'!O206="","",'Model inputs'!O206)</f>
        <v>3</v>
      </c>
      <c r="M408" s="8">
        <f>IF('Model inputs'!O206="","",'Model inputs'!O206)</f>
        <v>3</v>
      </c>
      <c r="N408" s="8">
        <f>IF('Model inputs'!O206="","",'Model inputs'!O206)</f>
        <v>3</v>
      </c>
    </row>
    <row r="409" outlineLevel="1">
      <c r="A409" t="inlineStr" s="19">
        <is>
          <t xml:space="preserve">New customers &gt; Household</t>
        </is>
      </c>
      <c r="B409" s="8">
        <f>IF('Model inputs'!B84="","",'Model inputs'!B84)</f>
        <v>0</v>
      </c>
      <c r="C409" s="8">
        <f>IF('Model inputs'!C84="","",'Model inputs'!C84)</f>
        <v>16</v>
      </c>
      <c r="D409" s="8">
        <f>IF('Model inputs'!D84="","",'Model inputs'!D84)</f>
        <v>16</v>
      </c>
      <c r="E409" s="8">
        <f>IF('Model inputs'!E84="","",'Model inputs'!E84)</f>
        <v>16</v>
      </c>
      <c r="F409" s="8">
        <f>IF('Model inputs'!F84="","",'Model inputs'!F84)</f>
        <v>16</v>
      </c>
      <c r="G409" s="8">
        <f>IF('Model inputs'!G84="","",'Model inputs'!G84)</f>
        <v>16</v>
      </c>
      <c r="H409" s="8">
        <f>IF('Model inputs'!H84="","",'Model inputs'!H84)</f>
        <v>16</v>
      </c>
      <c r="I409" s="8">
        <f>IF('Model inputs'!O207="","",'Model inputs'!O207)</f>
        <v>16</v>
      </c>
      <c r="J409" s="8">
        <f>IF('Model inputs'!O207="","",'Model inputs'!O207)</f>
        <v>16</v>
      </c>
      <c r="K409" s="8">
        <f>IF('Model inputs'!O207="","",'Model inputs'!O207)</f>
        <v>16</v>
      </c>
      <c r="L409" s="8">
        <f>IF('Model inputs'!O207="","",'Model inputs'!O207)</f>
        <v>16</v>
      </c>
      <c r="M409" s="8">
        <f>IF('Model inputs'!O207="","",'Model inputs'!O207)</f>
        <v>16</v>
      </c>
      <c r="N409" s="8">
        <f>IF('Model inputs'!O207="","",'Model inputs'!O207)</f>
        <v>16</v>
      </c>
    </row>
    <row r="410">
      <c r="A410" t="inlineStr" s="18">
        <is>
          <t xml:space="preserve">Pictures per story (policy)</t>
        </is>
      </c>
      <c r="O410" s="16">
        <v>0</v>
      </c>
    </row>
    <row r="411" outlineLevel="1">
      <c r="A411" t="inlineStr" s="19">
        <is>
          <t xml:space="preserve">Pictures per story (policy) &gt; Full (8 pictures)</t>
        </is>
      </c>
      <c r="O411" s="14">
        <f>'Model inputs'!O364</f>
        <v>8</v>
      </c>
    </row>
    <row r="412" outlineLevel="1">
      <c r="A412" t="inlineStr" s="19">
        <is>
          <t xml:space="preserve">Pictures per story (policy) &gt; Half (4 pictures)</t>
        </is>
      </c>
      <c r="O412" s="14">
        <f>'Model inputs'!O365</f>
        <v>4</v>
      </c>
    </row>
    <row r="413" outlineLevel="1">
      <c r="A413" t="inlineStr" s="19">
        <is>
          <t xml:space="preserve">Pictures per story (policy) &gt; Text only (0)</t>
        </is>
      </c>
      <c r="O413" s="14">
        <f>'Model inputs'!O366</f>
        <v>0</v>
      </c>
    </row>
    <row r="414">
      <c r="A414" t="inlineStr" s="18">
        <is>
          <t xml:space="preserve">Pictures per story (policy)</t>
        </is>
      </c>
      <c r="O414" s="16">
        <v>0</v>
      </c>
    </row>
    <row r="415" outlineLevel="1">
      <c r="A415" t="inlineStr" s="19">
        <is>
          <t xml:space="preserve">Pictures per story (policy) &gt; Full (8 pictures)</t>
        </is>
      </c>
      <c r="O415" s="14">
        <f>'Model inputs'!O364</f>
        <v>8</v>
      </c>
    </row>
    <row r="416" outlineLevel="1">
      <c r="A416" t="inlineStr" s="19">
        <is>
          <t xml:space="preserve">Pictures per story (policy) &gt; Half (4 pictures)</t>
        </is>
      </c>
      <c r="O416" s="14">
        <f>'Model inputs'!O365</f>
        <v>4</v>
      </c>
    </row>
    <row r="417" outlineLevel="1">
      <c r="A417" t="inlineStr" s="19">
        <is>
          <t xml:space="preserve">Pictures per story (policy) &gt; Text only (0)</t>
        </is>
      </c>
      <c r="O417" s="14">
        <f>'Model inputs'!O366</f>
        <v>0</v>
      </c>
    </row>
    <row r="418">
      <c r="A418" t="inlineStr" s="18">
        <is>
          <t xml:space="preserve">Share of gated uplift paid (derived)</t>
        </is>
      </c>
      <c r="O418" s="25">
        <v>0.7</v>
      </c>
    </row>
    <row r="419" outlineLevel="1">
      <c r="A419" t="inlineStr" s="19">
        <is>
          <t xml:space="preserve">Share of gated uplift paid (derived) &gt; Sampled</t>
        </is>
      </c>
      <c r="O419" s="21">
        <f>IF(EXACT("Sampled","Verify all"),1,IF('Model inputs'!O394="","",'Model inputs'!O394))</f>
        <v>0.7</v>
      </c>
    </row>
    <row r="420" outlineLevel="1">
      <c r="A420" t="inlineStr" s="19">
        <is>
          <t xml:space="preserve">Share of gated uplift paid (derived) &gt; Verify all</t>
        </is>
      </c>
      <c r="O420" s="21">
        <f>IF(EXACT("Verify all","Verify all"),1,IF('Model inputs'!O394="","",'Model inputs'!O394))</f>
        <v>1</v>
      </c>
    </row>
    <row r="421">
      <c r="A421" t="inlineStr" s="18">
        <is>
          <t xml:space="preserve">Share of gated uplift paid (derived)</t>
        </is>
      </c>
      <c r="O421" s="25">
        <v>0.7</v>
      </c>
    </row>
    <row r="422" outlineLevel="1">
      <c r="A422" t="inlineStr" s="19">
        <is>
          <t xml:space="preserve">Share of gated uplift paid (derived) &gt; Sampled</t>
        </is>
      </c>
      <c r="O422" s="21">
        <f>IF(EXACT("Sampled","Verify all"),1,IF('Model inputs'!O401="","",'Model inputs'!O401))</f>
        <v>0.7</v>
      </c>
    </row>
    <row r="423" outlineLevel="1">
      <c r="A423" t="inlineStr" s="19">
        <is>
          <t xml:space="preserve">Share of gated uplift paid (derived) &gt; Verify all</t>
        </is>
      </c>
      <c r="O423" s="21">
        <f>IF(EXACT("Verify all","Verify all"),1,IF('Model inputs'!O401="","",'Model inputs'!O401))</f>
        <v>1</v>
      </c>
    </row>
    <row r="425">
      <c r="A425" t="inlineStr" s="17">
        <is>
          <t xml:space="preserve">Dimensions</t>
        </is>
      </c>
    </row>
    <row r="426">
      <c r="A426" t="inlineStr" s="18">
        <is>
          <t xml:space="preserve">Plan</t>
        </is>
      </c>
      <c r="B426" t="inlineStr" s="28">
        <is>
          <t xml:space="preserve">Classroom</t>
        </is>
      </c>
      <c r="C426" t="inlineStr" s="28">
        <is>
          <t xml:space="preserve">Household</t>
        </is>
      </c>
    </row>
    <row r="427">
      <c r="A427" t="inlineStr" s="18">
        <is>
          <t xml:space="preserve">Illustration policy</t>
        </is>
      </c>
      <c r="B427" t="inlineStr" s="28">
        <is>
          <t xml:space="preserve">Full (8 pictures)</t>
        </is>
      </c>
      <c r="C427" t="inlineStr" s="28">
        <is>
          <t xml:space="preserve">Half (4 pictures)</t>
        </is>
      </c>
      <c r="D427" t="inlineStr" s="28">
        <is>
          <t xml:space="preserve">Text only (0)</t>
        </is>
      </c>
    </row>
    <row r="428">
      <c r="A428" t="inlineStr" s="18">
        <is>
          <t xml:space="preserve">Verification policy</t>
        </is>
      </c>
      <c r="B428" t="inlineStr" s="28">
        <is>
          <t xml:space="preserve">Sampled</t>
        </is>
      </c>
      <c r="C428" t="inlineStr" s="28">
        <is>
          <t xml:space="preserve">Verify all</t>
        </is>
      </c>
    </row>
    <row r="429">
      <c r="A429" t="inlineStr" s="18">
        <is>
          <t xml:space="preserve">Cost input</t>
        </is>
      </c>
      <c r="B429" t="inlineStr" s="28">
        <is>
          <t xml:space="preserve">Narration price per page</t>
        </is>
      </c>
      <c r="C429" t="inlineStr" s="28">
        <is>
          <t xml:space="preserve">Pages per story</t>
        </is>
      </c>
      <c r="D429" t="inlineStr" s="28">
        <is>
          <t xml:space="preserve">Picture price each</t>
        </is>
      </c>
      <c r="E429" t="inlineStr" s="28">
        <is>
          <t xml:space="preserve">Sampled share of gated uplift</t>
        </is>
      </c>
      <c r="F429" t="inlineStr" s="28">
        <is>
          <t xml:space="preserve">Text and verification B0 ungated</t>
        </is>
      </c>
      <c r="G429" t="inlineStr" s="28">
        <is>
          <t xml:space="preserve">Text and verification B1 gated</t>
        </is>
      </c>
    </row>
  </sheetData>
  <mergeCells count="2">
    <mergeCell ref="A1:O1"/>
    <mergeCell ref="A2:O2"/>
  </mergeCells>
</worksheet>
</file>

<file path=xl/worksheets/sheet5.xml><?xml version="1.0" encoding="utf-8"?>
<worksheet xmlns="http://schemas.openxmlformats.org/spreadsheetml/2006/main">
  <dimension ref="A1:F7"/>
  <sheetViews>
    <sheetView showGridLines="0" workbookViewId="0">
      <pane xSplit="0" ySplit="4" topLeftCell="A5" activePane="bottomRight" state="frozen"/>
      <selection pane="bottomRight" activeCell="A5" sqref="A5"/>
    </sheetView>
  </sheetViews>
  <sheetFormatPr defaultRowHeight="18"/>
  <cols>
    <col min="1" max="1" width="32" customWidth="1"/>
    <col min="2" max="2" width="10" customWidth="1"/>
    <col min="3" max="3" width="36" customWidth="1"/>
    <col min="4" max="4" width="14" customWidth="1"/>
    <col min="5" max="5" width="24" customWidth="1"/>
    <col min="6" max="6" width="80" customWidth="1"/>
  </cols>
  <sheetData>
    <row r="1" ht="32" customHeight="1">
      <c r="A1" t="inlineStr" s="1">
        <is>
          <t xml:space="preserve">Export notes</t>
        </is>
      </c>
    </row>
    <row r="2" ht="20" customHeight="1">
      <c r="A2" t="inlineStr" s="2">
        <is>
          <t xml:space="preserve">These cells hold the value cfo.ai calculated instead of a formula. They do not recalculate when you edit an input.</t>
        </is>
      </c>
    </row>
    <row r="4" ht="22" customHeight="1">
      <c r="A4" t="inlineStr" s="3">
        <is>
          <t xml:space="preserve">Sheet</t>
        </is>
      </c>
      <c r="B4" t="inlineStr" s="3">
        <is>
          <t xml:space="preserve">Cell</t>
        </is>
      </c>
      <c r="C4" t="inlineStr" s="3">
        <is>
          <t xml:space="preserve">Variable</t>
        </is>
      </c>
      <c r="D4" t="inlineStr" s="3">
        <is>
          <t xml:space="preserve">Period</t>
        </is>
      </c>
      <c r="E4" t="inlineStr" s="3">
        <is>
          <t xml:space="preserve">Scenario</t>
        </is>
      </c>
      <c r="F4" t="inlineStr" s="3">
        <is>
          <t xml:space="preserve">Why</t>
        </is>
      </c>
    </row>
    <row r="5">
      <c r="A5" t="inlineStr" s="28">
        <is>
          <t xml:space="preserve">Model inputs</t>
        </is>
      </c>
      <c r="B5" t="inlineStr" s="28">
        <is>
          <t xml:space="preserve">O367</t>
        </is>
      </c>
      <c r="C5" t="inlineStr" s="28">
        <is>
          <t xml:space="preserve">Share of gated uplift paid (derived)</t>
        </is>
      </c>
      <c r="D5" t="inlineStr" s="28">
        <is>
          <t xml:space="preserve"/>
        </is>
      </c>
      <c r="E5" t="inlineStr" s="28">
        <is>
          <t xml:space="preserve">Main Scenario</t>
        </is>
      </c>
      <c r="F5" t="inlineStr" s="28">
        <is>
          <t xml:space="preserve">It reads Verification policy, which this workbook does not contain.</t>
        </is>
      </c>
    </row>
    <row r="6">
      <c r="A6" t="inlineStr" s="28">
        <is>
          <t xml:space="preserve">Model inputs</t>
        </is>
      </c>
      <c r="B6" t="inlineStr" s="28">
        <is>
          <t xml:space="preserve">O418</t>
        </is>
      </c>
      <c r="C6" t="inlineStr" s="28">
        <is>
          <t xml:space="preserve">Share of gated uplift paid (derived)</t>
        </is>
      </c>
      <c r="D6" t="inlineStr" s="28">
        <is>
          <t xml:space="preserve"/>
        </is>
      </c>
      <c r="E6" t="inlineStr" s="28">
        <is>
          <t xml:space="preserve">Downside</t>
        </is>
      </c>
      <c r="F6" t="inlineStr" s="28">
        <is>
          <t xml:space="preserve">It reads Verification policy, which this workbook does not contain.</t>
        </is>
      </c>
    </row>
    <row r="7">
      <c r="A7" t="inlineStr" s="28">
        <is>
          <t xml:space="preserve">Model inputs</t>
        </is>
      </c>
      <c r="B7" t="inlineStr" s="28">
        <is>
          <t xml:space="preserve">O421</t>
        </is>
      </c>
      <c r="C7" t="inlineStr" s="28">
        <is>
          <t xml:space="preserve">Share of gated uplift paid (derived)</t>
        </is>
      </c>
      <c r="D7" t="inlineStr" s="28">
        <is>
          <t xml:space="preserve"/>
        </is>
      </c>
      <c r="E7" t="inlineStr" s="28">
        <is>
          <t xml:space="preserve">Growth</t>
        </is>
      </c>
      <c r="F7" t="inlineStr" s="28">
        <is>
          <t xml:space="preserve">It reads Verification policy, which this workbook does not contain.</t>
        </is>
      </c>
    </row>
  </sheetData>
  <mergeCells count="2">
    <mergeCell ref="A1:F1"/>
    <mergeCell ref="A2:F2"/>
  </mergeCells>
</worksheet>
</file>