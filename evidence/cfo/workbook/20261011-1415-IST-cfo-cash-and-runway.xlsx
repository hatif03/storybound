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sh and runway, month 12 (Main" sheetId="1" r:id="rId1"/>
    <sheet name="Cash and runway (monthly)" sheetId="2" r:id="rId2"/>
    <sheet name="Model inputs" sheetId="3" r:id="rId3"/>
    <sheet name="Export notes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&quot;$&quot;#,##0;(&quot;$&quot;#,##0)"/>
    <numFmt numFmtId="165" formatCode="#,##0.0;(#,##0.0)"/>
    <numFmt numFmtId="166" formatCode="&quot;$&quot;#,##0.0000;(&quot;$&quot;#,##0.0000)"/>
    <numFmt numFmtId="167" formatCode="&quot;$&quot;#,##0.00;(&quot;$&quot;#,##0.00)"/>
    <numFmt numFmtId="168" formatCode="#,##0;(#,##0)"/>
    <numFmt numFmtId="169" formatCode="0%"/>
    <numFmt numFmtId="170" formatCode="0.0%"/>
    <numFmt numFmtId="171" formatCode="#,##0.0000;(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6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71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Cash and runway, month 12 (Main vs Growth vs Downside)</t>
        </is>
      </c>
    </row>
    <row r="2" ht="20" customHeight="1">
      <c r="A2" t="inlineStr" s="2">
        <is>
          <t xml:space="preserve">Cash and runway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2027-09</t>
        </is>
      </c>
      <c r="C4" t="inlineStr" s="4">
        <is>
          <t xml:space="preserve">2027-09 &gt; Growth</t>
        </is>
      </c>
      <c r="D4" t="inlineStr" s="4">
        <is>
          <t xml:space="preserve">2027-09 &gt; Downside</t>
        </is>
      </c>
    </row>
    <row r="5">
      <c r="A5" t="inlineStr" s="5">
        <is>
          <t xml:space="preserve">Gross profit (USD)</t>
        </is>
      </c>
      <c r="B5" s="6">
        <f>SUM('Model inputs'!N10,'Model inputs'!N11)</f>
        <v>705.5277571914723</v>
      </c>
      <c r="C5" s="6">
        <f>SUM('Model inputs'!N16,'Model inputs'!N17)</f>
        <v>1143.449976116562</v>
      </c>
      <c r="D5" s="6">
        <f>SUM('Model inputs'!N13,'Model inputs'!N14)</f>
        <v>305.9114454921276</v>
      </c>
    </row>
    <row r="6">
      <c r="A6" t="inlineStr" s="7">
        <is>
          <t xml:space="preserve">Other fixed costs (USD)</t>
        </is>
      </c>
      <c r="B6" s="8">
        <f>IF('Model inputs'!O24="","",'Model inputs'!O24)</f>
        <v>50</v>
      </c>
      <c r="C6" s="8">
        <f>IF('Model inputs'!O26="","",'Model inputs'!O26)</f>
        <v>50</v>
      </c>
      <c r="D6" s="8">
        <f>IF('Model inputs'!O25="","",'Model inputs'!O25)</f>
        <v>50</v>
      </c>
    </row>
    <row r="7">
      <c r="A7" t="inlineStr" s="7">
        <is>
          <t xml:space="preserve">Net cash flow (USD)</t>
        </is>
      </c>
      <c r="B7" s="8">
        <f>'Cash and runway, month 12 (Main'!B5-'Cash and runway, month 12 (Main'!B6</f>
        <v>655.5277571914723</v>
      </c>
      <c r="C7" s="8">
        <f>'Cash and runway, month 12 (Main'!C5-'Cash and runway, month 12 (Main'!C6</f>
        <v>1093.449976116562</v>
      </c>
      <c r="D7" s="8">
        <f>'Cash and runway, month 12 (Main'!D5-'Cash and runway, month 12 (Main'!D6</f>
        <v>255.9114454921276</v>
      </c>
    </row>
    <row r="8">
      <c r="A8" t="inlineStr" s="7">
        <is>
          <t xml:space="preserve">Ending cash (USD)</t>
        </is>
      </c>
      <c r="B8" s="8">
        <f>'Cash and runway (monthly)'!L8+'Cash and runway, month 12 (Main'!B7</f>
        <v>8275.959930082183</v>
      </c>
      <c r="C8" s="8">
        <f>'Model inputs'!M8+'Cash and runway, month 12 (Main'!C7</f>
        <v>11089.106214819849</v>
      </c>
      <c r="D8" s="8">
        <f>'Model inputs'!M7+'Cash and runway, month 12 (Main'!D7</f>
        <v>4757.351590682596</v>
      </c>
    </row>
    <row r="9">
      <c r="A9" t="inlineStr" s="5">
        <is>
          <t xml:space="preserve">Runway in months (0 = not burning cash)</t>
        </is>
      </c>
      <c r="B9" s="9">
        <f>IF(IF(IF(ISERROR('Cash and runway, month 12 (Main'!B7&lt;0),'Cash and runway, month 12 (Main'!B7&lt;0,IF('Cash and runway, month 12 (Main'!B7="","",'Cash and runway, month 12 (Main'!B7&lt;0))="",FALSE,IF(ISERROR('Cash and runway, month 12 (Main'!B7&lt;0),'Cash and runway, month 12 (Main'!B7&lt;0,IF('Cash and runway, month 12 (Main'!B7="","",'Cash and runway, month 12 (Main'!B7&lt;0))),'Cash and runway, month 12 (Main'!B8/-'Cash and runway, month 12 (Main'!B7,0)</f>
        <v>0</v>
      </c>
      <c r="C9" s="9">
        <f>IF(IF(IF(ISERROR('Cash and runway, month 12 (Main'!C7&lt;0),'Cash and runway, month 12 (Main'!C7&lt;0,IF('Cash and runway, month 12 (Main'!C7="","",'Cash and runway, month 12 (Main'!C7&lt;0))="",FALSE,IF(ISERROR('Cash and runway, month 12 (Main'!C7&lt;0),'Cash and runway, month 12 (Main'!C7&lt;0,IF('Cash and runway, month 12 (Main'!C7="","",'Cash and runway, month 12 (Main'!C7&lt;0))),'Cash and runway, month 12 (Main'!C8/-'Cash and runway, month 12 (Main'!C7,0)</f>
        <v>0</v>
      </c>
      <c r="D9" s="9">
        <f>IF(IF(IF(ISERROR('Cash and runway, month 12 (Main'!D7&lt;0),'Cash and runway, month 12 (Main'!D7&lt;0,IF('Cash and runway, month 12 (Main'!D7="","",'Cash and runway, month 12 (Main'!D7&lt;0))="",FALSE,IF(ISERROR('Cash and runway, month 12 (Main'!D7&lt;0),'Cash and runway, month 12 (Main'!D7&lt;0,IF('Cash and runway, month 12 (Main'!D7="","",'Cash and runway, month 12 (Main'!D7&lt;0))),'Cash and runway, month 12 (Main'!D8/-'Cash and runway, month 12 (Main'!D7,0)</f>
        <v>0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M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Cash and runway (monthly)</t>
        </is>
      </c>
    </row>
    <row r="2" ht="20" customHeight="1">
      <c r="A2" t="inlineStr" s="2">
        <is>
          <t xml:space="preserve">Cash and runway · Main Scenario</t>
        </is>
      </c>
    </row>
    <row r="4" ht="22" customHeight="1">
      <c r="A4" t="inlineStr" s="3">
        <is>
          <t xml:space="preserve">Variable / dimension</t>
        </is>
      </c>
      <c r="B4" t="inlineStr" s="10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0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0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0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</row>
    <row r="5">
      <c r="A5" t="inlineStr" s="5">
        <is>
          <t xml:space="preserve">Gross profit (USD)</t>
        </is>
      </c>
      <c r="B5" s="6">
        <f>SUM('Model inputs'!C10,'Model inputs'!C11)</f>
        <v>409.494696</v>
      </c>
      <c r="C5" s="6">
        <f>SUM('Model inputs'!D10,'Model inputs'!D11)</f>
        <v>445.84389032</v>
      </c>
      <c r="D5" s="6">
        <f>SUM('Model inputs'!E10,'Model inputs'!E11)</f>
        <v>479.87065079440004</v>
      </c>
      <c r="E5" s="6">
        <f>SUM('Model inputs'!F10,'Model inputs'!F11)</f>
        <v>511.743207079848</v>
      </c>
      <c r="F5" s="6">
        <f>SUM('Model inputs'!G10,'Model inputs'!G11)</f>
        <v>541.6168574119902</v>
      </c>
      <c r="G5" s="6">
        <f>SUM('Model inputs'!H10,'Model inputs'!H11)</f>
        <v>569.6349873106051</v>
      </c>
      <c r="H5" s="6">
        <f>SUM('Model inputs'!I10,'Model inputs'!I11)</f>
        <v>595.9300072625836</v>
      </c>
      <c r="I5" s="6">
        <f>SUM('Model inputs'!J10,'Model inputs'!J11)</f>
        <v>620.6242158502989</v>
      </c>
      <c r="J5" s="6">
        <f>SUM('Model inputs'!K10,'Model inputs'!K11)</f>
        <v>643.8305942759353</v>
      </c>
      <c r="K5" s="6">
        <f>SUM('Model inputs'!L10,'Model inputs'!L11)</f>
        <v>665.6535377567111</v>
      </c>
      <c r="L5" s="6">
        <f>SUM('Model inputs'!M10,'Model inputs'!M11)</f>
        <v>686.1895288283392</v>
      </c>
      <c r="M5" s="6">
        <f>SUM('Model inputs'!N10,'Model inputs'!N11)</f>
        <v>705.5277571914723</v>
      </c>
    </row>
    <row r="6">
      <c r="A6" t="inlineStr" s="7">
        <is>
          <t xml:space="preserve">Other fixed costs (USD)</t>
        </is>
      </c>
      <c r="B6" s="8">
        <f>IF('Model inputs'!O24="","",'Model inputs'!O24)</f>
        <v>50</v>
      </c>
      <c r="C6" s="8">
        <f>IF('Model inputs'!O24="","",'Model inputs'!O24)</f>
        <v>50</v>
      </c>
      <c r="D6" s="8">
        <f>IF('Model inputs'!O24="","",'Model inputs'!O24)</f>
        <v>50</v>
      </c>
      <c r="E6" s="8">
        <f>IF('Model inputs'!O24="","",'Model inputs'!O24)</f>
        <v>50</v>
      </c>
      <c r="F6" s="8">
        <f>IF('Model inputs'!O24="","",'Model inputs'!O24)</f>
        <v>50</v>
      </c>
      <c r="G6" s="8">
        <f>IF('Model inputs'!O24="","",'Model inputs'!O24)</f>
        <v>50</v>
      </c>
      <c r="H6" s="8">
        <f>IF('Model inputs'!O24="","",'Model inputs'!O24)</f>
        <v>50</v>
      </c>
      <c r="I6" s="8">
        <f>IF('Model inputs'!O24="","",'Model inputs'!O24)</f>
        <v>50</v>
      </c>
      <c r="J6" s="8">
        <f>IF('Model inputs'!O24="","",'Model inputs'!O24)</f>
        <v>50</v>
      </c>
      <c r="K6" s="8">
        <f>IF('Model inputs'!O24="","",'Model inputs'!O24)</f>
        <v>50</v>
      </c>
      <c r="L6" s="8">
        <f>IF('Model inputs'!O24="","",'Model inputs'!O24)</f>
        <v>50</v>
      </c>
      <c r="M6" s="8">
        <f>IF('Model inputs'!O24="","",'Model inputs'!O24)</f>
        <v>50</v>
      </c>
    </row>
    <row r="7">
      <c r="A7" t="inlineStr" s="7">
        <is>
          <t xml:space="preserve">Net cash flow (USD)</t>
        </is>
      </c>
      <c r="B7" s="8">
        <f>'Cash and runway (monthly)'!B5-'Cash and runway (monthly)'!B6</f>
        <v>359.494696</v>
      </c>
      <c r="C7" s="8">
        <f>'Cash and runway (monthly)'!C5-'Cash and runway (monthly)'!C6</f>
        <v>395.84389032</v>
      </c>
      <c r="D7" s="8">
        <f>'Cash and runway (monthly)'!D5-'Cash and runway (monthly)'!D6</f>
        <v>429.87065079440004</v>
      </c>
      <c r="E7" s="8">
        <f>'Cash and runway (monthly)'!E5-'Cash and runway (monthly)'!E6</f>
        <v>461.743207079848</v>
      </c>
      <c r="F7" s="8">
        <f>'Cash and runway (monthly)'!F5-'Cash and runway (monthly)'!F6</f>
        <v>491.61685741199017</v>
      </c>
      <c r="G7" s="8">
        <f>'Cash and runway (monthly)'!G5-'Cash and runway (monthly)'!G6</f>
        <v>519.6349873106051</v>
      </c>
      <c r="H7" s="8">
        <f>'Cash and runway (monthly)'!H5-'Cash and runway (monthly)'!H6</f>
        <v>545.9300072625836</v>
      </c>
      <c r="I7" s="8">
        <f>'Cash and runway (monthly)'!I5-'Cash and runway (monthly)'!I6</f>
        <v>570.6242158502989</v>
      </c>
      <c r="J7" s="8">
        <f>'Cash and runway (monthly)'!J5-'Cash and runway (monthly)'!J6</f>
        <v>593.8305942759353</v>
      </c>
      <c r="K7" s="8">
        <f>'Cash and runway (monthly)'!K5-'Cash and runway (monthly)'!K6</f>
        <v>615.6535377567111</v>
      </c>
      <c r="L7" s="8">
        <f>'Cash and runway (monthly)'!L5-'Cash and runway (monthly)'!L6</f>
        <v>636.1895288283392</v>
      </c>
      <c r="M7" s="8">
        <f>'Cash and runway (monthly)'!M5-'Cash and runway (monthly)'!M6</f>
        <v>655.5277571914723</v>
      </c>
    </row>
    <row r="8">
      <c r="A8" t="inlineStr" s="7">
        <is>
          <t xml:space="preserve">Ending cash (USD)</t>
        </is>
      </c>
      <c r="B8" s="8">
        <f>'Model inputs'!B6+'Cash and runway (monthly)'!B7</f>
        <v>2359.4946959999997</v>
      </c>
      <c r="C8" s="8">
        <f>'Cash and runway (monthly)'!B8+'Cash and runway (monthly)'!C7</f>
        <v>2755.3385863199996</v>
      </c>
      <c r="D8" s="8">
        <f>'Cash and runway (monthly)'!C8+'Cash and runway (monthly)'!D7</f>
        <v>3185.2092371144</v>
      </c>
      <c r="E8" s="8">
        <f>'Cash and runway (monthly)'!D8+'Cash and runway (monthly)'!E7</f>
        <v>3646.952444194248</v>
      </c>
      <c r="F8" s="8">
        <f>'Cash and runway (monthly)'!E8+'Cash and runway (monthly)'!F7</f>
        <v>4138.569301606238</v>
      </c>
      <c r="G8" s="8">
        <f>'Cash and runway (monthly)'!F8+'Cash and runway (monthly)'!G7</f>
        <v>4658.204288916842</v>
      </c>
      <c r="H8" s="8">
        <f>'Cash and runway (monthly)'!G8+'Cash and runway (monthly)'!H7</f>
        <v>5204.134296179426</v>
      </c>
      <c r="I8" s="8">
        <f>'Cash and runway (monthly)'!H8+'Cash and runway (monthly)'!I7</f>
        <v>5774.758512029725</v>
      </c>
      <c r="J8" s="8">
        <f>'Cash and runway (monthly)'!I8+'Cash and runway (monthly)'!J7</f>
        <v>6368.589106305661</v>
      </c>
      <c r="K8" s="8">
        <f>'Cash and runway (monthly)'!J8+'Cash and runway (monthly)'!K7</f>
        <v>6984.242644062371</v>
      </c>
      <c r="L8" s="8">
        <f>'Cash and runway (monthly)'!K8+'Cash and runway (monthly)'!L7</f>
        <v>7620.432172890711</v>
      </c>
      <c r="M8" s="8">
        <f>'Cash and runway (monthly)'!L8+'Cash and runway (monthly)'!M7</f>
        <v>8275.959930082183</v>
      </c>
    </row>
    <row r="9">
      <c r="A9" t="inlineStr" s="5">
        <is>
          <t xml:space="preserve">Runway in months (0 = not burning cash)</t>
        </is>
      </c>
      <c r="B9" s="9">
        <f>IF(IF(IF(ISERROR('Cash and runway (monthly)'!B7&lt;0),'Cash and runway (monthly)'!B7&lt;0,IF('Cash and runway (monthly)'!B7="","",'Cash and runway (monthly)'!B7&lt;0))="",FALSE,IF(ISERROR('Cash and runway (monthly)'!B7&lt;0),'Cash and runway (monthly)'!B7&lt;0,IF('Cash and runway (monthly)'!B7="","",'Cash and runway (monthly)'!B7&lt;0))),'Cash and runway (monthly)'!B8/-'Cash and runway (monthly)'!B7,0)</f>
        <v>0</v>
      </c>
      <c r="C9" s="9">
        <f>IF(IF(IF(ISERROR('Cash and runway (monthly)'!C7&lt;0),'Cash and runway (monthly)'!C7&lt;0,IF('Cash and runway (monthly)'!C7="","",'Cash and runway (monthly)'!C7&lt;0))="",FALSE,IF(ISERROR('Cash and runway (monthly)'!C7&lt;0),'Cash and runway (monthly)'!C7&lt;0,IF('Cash and runway (monthly)'!C7="","",'Cash and runway (monthly)'!C7&lt;0))),'Cash and runway (monthly)'!C8/-'Cash and runway (monthly)'!C7,0)</f>
        <v>0</v>
      </c>
      <c r="D9" s="9">
        <f>IF(IF(IF(ISERROR('Cash and runway (monthly)'!D7&lt;0),'Cash and runway (monthly)'!D7&lt;0,IF('Cash and runway (monthly)'!D7="","",'Cash and runway (monthly)'!D7&lt;0))="",FALSE,IF(ISERROR('Cash and runway (monthly)'!D7&lt;0),'Cash and runway (monthly)'!D7&lt;0,IF('Cash and runway (monthly)'!D7="","",'Cash and runway (monthly)'!D7&lt;0))),'Cash and runway (monthly)'!D8/-'Cash and runway (monthly)'!D7,0)</f>
        <v>0</v>
      </c>
      <c r="E9" s="9">
        <f>IF(IF(IF(ISERROR('Cash and runway (monthly)'!E7&lt;0),'Cash and runway (monthly)'!E7&lt;0,IF('Cash and runway (monthly)'!E7="","",'Cash and runway (monthly)'!E7&lt;0))="",FALSE,IF(ISERROR('Cash and runway (monthly)'!E7&lt;0),'Cash and runway (monthly)'!E7&lt;0,IF('Cash and runway (monthly)'!E7="","",'Cash and runway (monthly)'!E7&lt;0))),'Cash and runway (monthly)'!E8/-'Cash and runway (monthly)'!E7,0)</f>
        <v>0</v>
      </c>
      <c r="F9" s="9">
        <f>IF(IF(IF(ISERROR('Cash and runway (monthly)'!F7&lt;0),'Cash and runway (monthly)'!F7&lt;0,IF('Cash and runway (monthly)'!F7="","",'Cash and runway (monthly)'!F7&lt;0))="",FALSE,IF(ISERROR('Cash and runway (monthly)'!F7&lt;0),'Cash and runway (monthly)'!F7&lt;0,IF('Cash and runway (monthly)'!F7="","",'Cash and runway (monthly)'!F7&lt;0))),'Cash and runway (monthly)'!F8/-'Cash and runway (monthly)'!F7,0)</f>
        <v>0</v>
      </c>
      <c r="G9" s="9">
        <f>IF(IF(IF(ISERROR('Cash and runway (monthly)'!G7&lt;0),'Cash and runway (monthly)'!G7&lt;0,IF('Cash and runway (monthly)'!G7="","",'Cash and runway (monthly)'!G7&lt;0))="",FALSE,IF(ISERROR('Cash and runway (monthly)'!G7&lt;0),'Cash and runway (monthly)'!G7&lt;0,IF('Cash and runway (monthly)'!G7="","",'Cash and runway (monthly)'!G7&lt;0))),'Cash and runway (monthly)'!G8/-'Cash and runway (monthly)'!G7,0)</f>
        <v>0</v>
      </c>
      <c r="H9" s="9">
        <f>IF(IF(IF(ISERROR('Cash and runway (monthly)'!H7&lt;0),'Cash and runway (monthly)'!H7&lt;0,IF('Cash and runway (monthly)'!H7="","",'Cash and runway (monthly)'!H7&lt;0))="",FALSE,IF(ISERROR('Cash and runway (monthly)'!H7&lt;0),'Cash and runway (monthly)'!H7&lt;0,IF('Cash and runway (monthly)'!H7="","",'Cash and runway (monthly)'!H7&lt;0))),'Cash and runway (monthly)'!H8/-'Cash and runway (monthly)'!H7,0)</f>
        <v>0</v>
      </c>
      <c r="I9" s="9">
        <f>IF(IF(IF(ISERROR('Cash and runway (monthly)'!I7&lt;0),'Cash and runway (monthly)'!I7&lt;0,IF('Cash and runway (monthly)'!I7="","",'Cash and runway (monthly)'!I7&lt;0))="",FALSE,IF(ISERROR('Cash and runway (monthly)'!I7&lt;0),'Cash and runway (monthly)'!I7&lt;0,IF('Cash and runway (monthly)'!I7="","",'Cash and runway (monthly)'!I7&lt;0))),'Cash and runway (monthly)'!I8/-'Cash and runway (monthly)'!I7,0)</f>
        <v>0</v>
      </c>
      <c r="J9" s="9">
        <f>IF(IF(IF(ISERROR('Cash and runway (monthly)'!J7&lt;0),'Cash and runway (monthly)'!J7&lt;0,IF('Cash and runway (monthly)'!J7="","",'Cash and runway (monthly)'!J7&lt;0))="",FALSE,IF(ISERROR('Cash and runway (monthly)'!J7&lt;0),'Cash and runway (monthly)'!J7&lt;0,IF('Cash and runway (monthly)'!J7="","",'Cash and runway (monthly)'!J7&lt;0))),'Cash and runway (monthly)'!J8/-'Cash and runway (monthly)'!J7,0)</f>
        <v>0</v>
      </c>
      <c r="K9" s="9">
        <f>IF(IF(IF(ISERROR('Cash and runway (monthly)'!K7&lt;0),'Cash and runway (monthly)'!K7&lt;0,IF('Cash and runway (monthly)'!K7="","",'Cash and runway (monthly)'!K7&lt;0))="",FALSE,IF(ISERROR('Cash and runway (monthly)'!K7&lt;0),'Cash and runway (monthly)'!K7&lt;0,IF('Cash and runway (monthly)'!K7="","",'Cash and runway (monthly)'!K7&lt;0))),'Cash and runway (monthly)'!K8/-'Cash and runway (monthly)'!K7,0)</f>
        <v>0</v>
      </c>
      <c r="L9" s="9">
        <f>IF(IF(IF(ISERROR('Cash and runway (monthly)'!L7&lt;0),'Cash and runway (monthly)'!L7&lt;0,IF('Cash and runway (monthly)'!L7="","",'Cash and runway (monthly)'!L7&lt;0))="",FALSE,IF(ISERROR('Cash and runway (monthly)'!L7&lt;0),'Cash and runway (monthly)'!L7&lt;0,IF('Cash and runway (monthly)'!L7="","",'Cash and runway (monthly)'!L7&lt;0))),'Cash and runway (monthly)'!L8/-'Cash and runway (monthly)'!L7,0)</f>
        <v>0</v>
      </c>
      <c r="M9" s="9">
        <f>IF(IF(IF(ISERROR('Cash and runway (monthly)'!M7&lt;0),'Cash and runway (monthly)'!M7&lt;0,IF('Cash and runway (monthly)'!M7="","",'Cash and runway (monthly)'!M7&lt;0))="",FALSE,IF(ISERROR('Cash and runway (monthly)'!M7&lt;0),'Cash and runway (monthly)'!M7&lt;0,IF('Cash and runway (monthly)'!M7="","",'Cash and runway (monthly)'!M7&lt;0))),'Cash and runway (monthly)'!M8/-'Cash and runway (monthly)'!M7,0)</f>
        <v>0</v>
      </c>
    </row>
  </sheetData>
  <mergeCells count="1">
    <mergeCell ref="A1:M1"/>
  </mergeCells>
</worksheet>
</file>

<file path=xl/worksheets/sheet3.xml><?xml version="1.0" encoding="utf-8"?>
<worksheet xmlns="http://schemas.openxmlformats.org/spreadsheetml/2006/main">
  <dimension ref="A1:O332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1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10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10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10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10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4">
        <is>
          <t xml:space="preserve">Value</t>
        </is>
      </c>
    </row>
    <row r="6">
      <c r="A6" t="inlineStr" s="12">
        <is>
          <t xml:space="preserve">Ending cash (USD) · Main Scenario</t>
        </is>
      </c>
      <c r="B6" s="8">
        <f>IF('Model inputs'!O45="","",'Model inputs'!O45)</f>
        <v>2000</v>
      </c>
      <c r="C6" s="8">
        <f>'Model inputs'!B6+'Model inputs'!C18</f>
        <v>2359.4946959999997</v>
      </c>
      <c r="D6" s="8">
        <f>'Model inputs'!C6+'Model inputs'!D18</f>
        <v>2755.3385863199996</v>
      </c>
      <c r="E6" s="8">
        <f>'Model inputs'!D6+'Model inputs'!E18</f>
        <v>3185.2092371144</v>
      </c>
      <c r="F6" s="8">
        <f>'Model inputs'!E6+'Model inputs'!F18</f>
        <v>3646.952444194248</v>
      </c>
      <c r="G6" s="8">
        <f>'Model inputs'!F6+'Model inputs'!G18</f>
        <v>4138.569301606238</v>
      </c>
      <c r="H6" s="8">
        <f>'Model inputs'!G6+'Model inputs'!H18</f>
        <v>4658.204288916842</v>
      </c>
      <c r="I6" s="8">
        <f>'Model inputs'!H6+'Model inputs'!I18</f>
        <v>5204.134296179426</v>
      </c>
      <c r="J6" s="8">
        <f>'Model inputs'!I6+'Model inputs'!J18</f>
        <v>5774.758512029725</v>
      </c>
      <c r="K6" s="8">
        <f>'Model inputs'!J6+'Model inputs'!K18</f>
        <v>6368.589106305661</v>
      </c>
      <c r="L6" s="8">
        <f>'Model inputs'!K6+'Model inputs'!L18</f>
        <v>6984.242644062371</v>
      </c>
      <c r="M6" s="8">
        <f>'Model inputs'!L6+'Model inputs'!M18</f>
        <v>7620.432172890711</v>
      </c>
      <c r="N6" s="8">
        <f>'Model inputs'!M6+'Model inputs'!N18</f>
        <v>8275.959930082183</v>
      </c>
    </row>
    <row r="7">
      <c r="A7" t="inlineStr" s="12">
        <is>
          <t xml:space="preserve">Ending cash (USD) · Downside</t>
        </is>
      </c>
      <c r="B7" s="8">
        <f>IF('Model inputs'!O46="","",'Model inputs'!O46)</f>
        <v>2000</v>
      </c>
      <c r="C7" s="8">
        <f>'Model inputs'!B7+'Model inputs'!C19</f>
        <v>2190.47424</v>
      </c>
      <c r="D7" s="8">
        <f>'Model inputs'!C7+'Model inputs'!D19</f>
        <v>2391.35016</v>
      </c>
      <c r="E7" s="8">
        <f>'Model inputs'!D7+'Model inputs'!E19</f>
        <v>2601.32624864</v>
      </c>
      <c r="F7" s="8">
        <f>'Model inputs'!E7+'Model inputs'!F19</f>
        <v>2819.2806968256</v>
      </c>
      <c r="G7" s="8">
        <f>'Model inputs'!F7+'Model inputs'!G19</f>
        <v>3044.245373854464</v>
      </c>
      <c r="H7" s="8">
        <f>'Model inputs'!G7+'Model inputs'!H19</f>
        <v>3275.383651235836</v>
      </c>
      <c r="I7" s="8">
        <f>'Model inputs'!H7+'Model inputs'!I19</f>
        <v>3511.97150040243</v>
      </c>
      <c r="J7" s="8">
        <f>'Model inputs'!I7+'Model inputs'!J19</f>
        <v>3753.3813763829166</v>
      </c>
      <c r="K7" s="8">
        <f>'Model inputs'!J7+'Model inputs'!K19</f>
        <v>3999.068472503879</v>
      </c>
      <c r="L7" s="8">
        <f>'Model inputs'!K7+'Model inputs'!L19</f>
        <v>4248.558993251993</v>
      </c>
      <c r="M7" s="8">
        <f>'Model inputs'!L7+'Model inputs'!M19</f>
        <v>4501.440145190469</v>
      </c>
      <c r="N7" s="8">
        <f>'Model inputs'!M7+'Model inputs'!N19</f>
        <v>4757.351590682596</v>
      </c>
    </row>
    <row r="8">
      <c r="A8" t="inlineStr" s="12">
        <is>
          <t xml:space="preserve">Ending cash (USD) · Growth</t>
        </is>
      </c>
      <c r="B8" s="8">
        <f>IF('Model inputs'!O47="","",'Model inputs'!O47)</f>
        <v>2000</v>
      </c>
      <c r="C8" s="8">
        <f>'Model inputs'!B8+'Model inputs'!C20</f>
        <v>2345.394046</v>
      </c>
      <c r="D8" s="8">
        <f>'Model inputs'!C8+'Model inputs'!D20</f>
        <v>2781.91248582</v>
      </c>
      <c r="E8" s="8">
        <f>'Model inputs'!D8+'Model inputs'!E20</f>
        <v>3303.8824040294</v>
      </c>
      <c r="F8" s="8">
        <f>'Model inputs'!E8+'Model inputs'!F20</f>
        <v>3906.036207349798</v>
      </c>
      <c r="G8" s="8">
        <f>'Model inputs'!F8+'Model inputs'!G20</f>
        <v>4583.480654215282</v>
      </c>
      <c r="H8" s="8">
        <f>'Model inputs'!G8+'Model inputs'!H20</f>
        <v>5331.668318307923</v>
      </c>
      <c r="I8" s="8">
        <f>'Model inputs'!H8+'Model inputs'!I20</f>
        <v>6146.371292660257</v>
      </c>
      <c r="J8" s="8">
        <f>'Model inputs'!I8+'Model inputs'!J20</f>
        <v>7023.656956349894</v>
      </c>
      <c r="K8" s="8">
        <f>'Model inputs'!J8+'Model inputs'!K20</f>
        <v>7959.865640011288</v>
      </c>
      <c r="L8" s="8">
        <f>'Model inputs'!K8+'Model inputs'!L20</f>
        <v>8951.590039454688</v>
      </c>
      <c r="M8" s="8">
        <f>'Model inputs'!L8+'Model inputs'!M20</f>
        <v>9995.656238703286</v>
      </c>
      <c r="N8" s="8">
        <f>'Model inputs'!M8+'Model inputs'!N20</f>
        <v>11089.106214819849</v>
      </c>
    </row>
    <row r="9">
      <c r="A9" t="inlineStr" s="12">
        <is>
          <t xml:space="preserve">Gross profit (USD)</t>
        </is>
      </c>
      <c r="B9" s="6">
        <f>SUM('Model inputs'!B10,'Model inputs'!B11)</f>
        <v>0</v>
      </c>
      <c r="C9" s="6">
        <f>SUM('Model inputs'!C10,'Model inputs'!C11)</f>
        <v>409.494696</v>
      </c>
      <c r="D9" s="6">
        <f>SUM('Model inputs'!D10,'Model inputs'!D11)</f>
        <v>445.84389032</v>
      </c>
      <c r="E9" s="6">
        <f>SUM('Model inputs'!E10,'Model inputs'!E11)</f>
        <v>479.87065079440004</v>
      </c>
      <c r="F9" s="6">
        <f>SUM('Model inputs'!F10,'Model inputs'!F11)</f>
        <v>511.743207079848</v>
      </c>
      <c r="G9" s="6">
        <f>SUM('Model inputs'!G10,'Model inputs'!G11)</f>
        <v>541.6168574119902</v>
      </c>
      <c r="H9" s="6">
        <f>SUM('Model inputs'!H10,'Model inputs'!H11)</f>
        <v>569.6349873106051</v>
      </c>
      <c r="I9" s="6">
        <f>SUM('Model inputs'!I10,'Model inputs'!I11)</f>
        <v>595.9300072625836</v>
      </c>
      <c r="J9" s="6">
        <f>SUM('Model inputs'!J10,'Model inputs'!J11)</f>
        <v>620.6242158502989</v>
      </c>
      <c r="K9" s="6">
        <f>SUM('Model inputs'!K10,'Model inputs'!K11)</f>
        <v>643.8305942759353</v>
      </c>
      <c r="L9" s="6">
        <f>SUM('Model inputs'!L10,'Model inputs'!L11)</f>
        <v>665.6535377567111</v>
      </c>
      <c r="M9" s="6">
        <f>SUM('Model inputs'!M10,'Model inputs'!M11)</f>
        <v>686.1895288283392</v>
      </c>
      <c r="N9" s="6">
        <f>SUM('Model inputs'!N10,'Model inputs'!N11)</f>
        <v>705.5277571914723</v>
      </c>
    </row>
    <row r="10" outlineLevel="1">
      <c r="A10" t="inlineStr" s="13">
        <is>
          <t xml:space="preserve">Gross profit (USD) &gt; Classroom</t>
        </is>
      </c>
      <c r="B10" s="8">
        <f>0</f>
        <v>0</v>
      </c>
      <c r="C10" s="8">
        <f>'Model inputs'!C37-'Model inputs'!C28</f>
        <v>172.08938162745483</v>
      </c>
      <c r="D10" s="8">
        <f>'Model inputs'!D37-'Model inputs'!D28</f>
        <v>184.00240859897232</v>
      </c>
      <c r="E10" s="8">
        <f>'Model inputs'!E37-'Model inputs'!E28</f>
        <v>195.5051020271279</v>
      </c>
      <c r="F10" s="8">
        <f>'Model inputs'!F37-'Model inputs'!F28</f>
        <v>206.62350174453735</v>
      </c>
      <c r="G10" s="8">
        <f>'Model inputs'!G37-'Model inputs'!G28</f>
        <v>217.37851398095688</v>
      </c>
      <c r="H10" s="8">
        <f>'Model inputs'!H37-'Model inputs'!H28</f>
        <v>227.7876591042103</v>
      </c>
      <c r="I10" s="8">
        <f>'Model inputs'!I37-'Model inputs'!I28</f>
        <v>237.86611640104644</v>
      </c>
      <c r="J10" s="8">
        <f>'Model inputs'!J37-'Model inputs'!J28</f>
        <v>247.62737641509204</v>
      </c>
      <c r="K10" s="8">
        <f>'Model inputs'!K37-'Model inputs'!K28</f>
        <v>257.08366385894396</v>
      </c>
      <c r="L10" s="8">
        <f>'Model inputs'!L37-'Model inputs'!L28</f>
        <v>266.2462210233209</v>
      </c>
      <c r="M10" s="8">
        <f>'Model inputs'!M37-'Model inputs'!M28</f>
        <v>275.12550342715895</v>
      </c>
      <c r="N10" s="8">
        <f>'Model inputs'!N37-'Model inputs'!N28</f>
        <v>283.73131859143916</v>
      </c>
    </row>
    <row r="11" outlineLevel="1">
      <c r="A11" t="inlineStr" s="13">
        <is>
          <t xml:space="preserve">Gross profit (USD) &gt; Household</t>
        </is>
      </c>
      <c r="B11" s="8">
        <f>0</f>
        <v>0</v>
      </c>
      <c r="C11" s="8">
        <f>'Model inputs'!C38-'Model inputs'!C29</f>
        <v>237.40531437254512</v>
      </c>
      <c r="D11" s="8">
        <f>'Model inputs'!D38-'Model inputs'!D29</f>
        <v>261.84148172102766</v>
      </c>
      <c r="E11" s="8">
        <f>'Model inputs'!E38-'Model inputs'!E29</f>
        <v>284.3655487672721</v>
      </c>
      <c r="F11" s="8">
        <f>'Model inputs'!F38-'Model inputs'!F29</f>
        <v>305.11970533531064</v>
      </c>
      <c r="G11" s="8">
        <f>'Model inputs'!G38-'Model inputs'!G29</f>
        <v>324.23834343103334</v>
      </c>
      <c r="H11" s="8">
        <f>'Model inputs'!H38-'Model inputs'!H29</f>
        <v>341.8473282063948</v>
      </c>
      <c r="I11" s="8">
        <f>'Model inputs'!I38-'Model inputs'!I29</f>
        <v>358.06389086153706</v>
      </c>
      <c r="J11" s="8">
        <f>'Model inputs'!J38-'Model inputs'!J29</f>
        <v>372.9968394352068</v>
      </c>
      <c r="K11" s="8">
        <f>'Model inputs'!K38-'Model inputs'!K29</f>
        <v>386.74693041699135</v>
      </c>
      <c r="L11" s="8">
        <f>'Model inputs'!L38-'Model inputs'!L29</f>
        <v>399.4073167333902</v>
      </c>
      <c r="M11" s="8">
        <f>'Model inputs'!M38-'Model inputs'!M29</f>
        <v>411.06402540118034</v>
      </c>
      <c r="N11" s="8">
        <f>'Model inputs'!N38-'Model inputs'!N29</f>
        <v>421.7964386000331</v>
      </c>
    </row>
    <row r="12">
      <c r="A12" t="inlineStr" s="12">
        <is>
          <t xml:space="preserve">Gross profit (USD)</t>
        </is>
      </c>
      <c r="B12" s="6">
        <f>SUM('Model inputs'!B13,'Model inputs'!B14)</f>
        <v>0</v>
      </c>
      <c r="C12" s="6">
        <f>SUM('Model inputs'!C13,'Model inputs'!C14)</f>
        <v>240.47424</v>
      </c>
      <c r="D12" s="6">
        <f>SUM('Model inputs'!D13,'Model inputs'!D14)</f>
        <v>250.8759200000001</v>
      </c>
      <c r="E12" s="6">
        <f>SUM('Model inputs'!E13,'Model inputs'!E14)</f>
        <v>259.97608863999994</v>
      </c>
      <c r="F12" s="6">
        <f>SUM('Model inputs'!F13,'Model inputs'!F14)</f>
        <v>267.9544481856001</v>
      </c>
      <c r="G12" s="6">
        <f>SUM('Model inputs'!G13,'Model inputs'!G14)</f>
        <v>274.96467702886406</v>
      </c>
      <c r="H12" s="6">
        <f>SUM('Model inputs'!H13,'Model inputs'!H14)</f>
        <v>281.13827738137223</v>
      </c>
      <c r="I12" s="6">
        <f>SUM('Model inputs'!I13,'Model inputs'!I14)</f>
        <v>286.5878491665939</v>
      </c>
      <c r="J12" s="6">
        <f>SUM('Model inputs'!J13,'Model inputs'!J14)</f>
        <v>291.40987598048673</v>
      </c>
      <c r="K12" s="6">
        <f>SUM('Model inputs'!K13,'Model inputs'!K14)</f>
        <v>295.68709612096256</v>
      </c>
      <c r="L12" s="6">
        <f>SUM('Model inputs'!L13,'Model inputs'!L14)</f>
        <v>299.49052074811425</v>
      </c>
      <c r="M12" s="6">
        <f>SUM('Model inputs'!M13,'Model inputs'!M14)</f>
        <v>302.8811519384753</v>
      </c>
      <c r="N12" s="6">
        <f>SUM('Model inputs'!N13,'Model inputs'!N14)</f>
        <v>305.9114454921276</v>
      </c>
    </row>
    <row r="13" outlineLevel="1">
      <c r="A13" t="inlineStr" s="13">
        <is>
          <t xml:space="preserve">Gross profit (USD) &gt; Classroom</t>
        </is>
      </c>
      <c r="B13" s="8">
        <f>'Model inputs'!B10</f>
        <v>0</v>
      </c>
      <c r="C13" s="8">
        <f>'Model inputs'!C40-'Model inputs'!C31</f>
        <v>66.84996356060353</v>
      </c>
      <c r="D13" s="8">
        <f>'Model inputs'!D40-'Model inputs'!D31</f>
        <v>69.75087334636322</v>
      </c>
      <c r="E13" s="8">
        <f>'Model inputs'!E40-'Model inputs'!E31</f>
        <v>72.45489424864337</v>
      </c>
      <c r="F13" s="8">
        <f>'Model inputs'!F40-'Model inputs'!F31</f>
        <v>74.97908190490438</v>
      </c>
      <c r="G13" s="8">
        <f>'Model inputs'!G40-'Model inputs'!G31</f>
        <v>77.3380604076932</v>
      </c>
      <c r="H13" s="8">
        <f>'Model inputs'!H40-'Model inputs'!H31</f>
        <v>79.54460907367132</v>
      </c>
      <c r="I13" s="8">
        <f>'Model inputs'!I40-'Model inputs'!I31</f>
        <v>81.61005747873736</v>
      </c>
      <c r="J13" s="8">
        <f>'Model inputs'!J40-'Model inputs'!J31</f>
        <v>83.54456149562566</v>
      </c>
      <c r="K13" s="8">
        <f>'Model inputs'!K40-'Model inputs'!K31</f>
        <v>85.35730284877155</v>
      </c>
      <c r="L13" s="8">
        <f>'Model inputs'!L40-'Model inputs'!L31</f>
        <v>87.05663792625523</v>
      </c>
      <c r="M13" s="8">
        <f>'Model inputs'!M40-'Model inputs'!M31</f>
        <v>88.65021192712288</v>
      </c>
      <c r="N13" s="8">
        <f>'Model inputs'!N40-'Model inputs'!N31</f>
        <v>90.14504867412995</v>
      </c>
    </row>
    <row r="14" outlineLevel="1">
      <c r="A14" t="inlineStr" s="13">
        <is>
          <t xml:space="preserve">Gross profit (USD) &gt; Household</t>
        </is>
      </c>
      <c r="B14" s="8">
        <f>'Model inputs'!B11</f>
        <v>0</v>
      </c>
      <c r="C14" s="8">
        <f>'Model inputs'!C41-'Model inputs'!C32</f>
        <v>173.62427643939648</v>
      </c>
      <c r="D14" s="8">
        <f>'Model inputs'!D41-'Model inputs'!D32</f>
        <v>181.12504665363687</v>
      </c>
      <c r="E14" s="8">
        <f>'Model inputs'!E41-'Model inputs'!E32</f>
        <v>187.5211943913566</v>
      </c>
      <c r="F14" s="8">
        <f>'Model inputs'!F41-'Model inputs'!F32</f>
        <v>192.9753662806957</v>
      </c>
      <c r="G14" s="8">
        <f>'Model inputs'!G41-'Model inputs'!G32</f>
        <v>197.62661662117085</v>
      </c>
      <c r="H14" s="8">
        <f>'Model inputs'!H41-'Model inputs'!H32</f>
        <v>201.5936683077009</v>
      </c>
      <c r="I14" s="8">
        <f>'Model inputs'!I41-'Model inputs'!I32</f>
        <v>204.97779168785655</v>
      </c>
      <c r="J14" s="8">
        <f>'Model inputs'!J41-'Model inputs'!J32</f>
        <v>207.86531448486105</v>
      </c>
      <c r="K14" s="8">
        <f>'Model inputs'!K41-'Model inputs'!K32</f>
        <v>210.329793272191</v>
      </c>
      <c r="L14" s="8">
        <f>'Model inputs'!L41-'Model inputs'!L32</f>
        <v>212.43388282185902</v>
      </c>
      <c r="M14" s="8">
        <f>'Model inputs'!M41-'Model inputs'!M32</f>
        <v>214.2309400113524</v>
      </c>
      <c r="N14" s="8">
        <f>'Model inputs'!N41-'Model inputs'!N32</f>
        <v>215.76639681799765</v>
      </c>
    </row>
    <row r="15">
      <c r="A15" t="inlineStr" s="12">
        <is>
          <t xml:space="preserve">Gross profit (USD)</t>
        </is>
      </c>
      <c r="B15" s="6">
        <f>SUM('Model inputs'!B16,'Model inputs'!B17)</f>
        <v>0</v>
      </c>
      <c r="C15" s="6">
        <f>SUM('Model inputs'!C16,'Model inputs'!C17)</f>
        <v>395.394046</v>
      </c>
      <c r="D15" s="6">
        <f>SUM('Model inputs'!D16,'Model inputs'!D17)</f>
        <v>486.51843982</v>
      </c>
      <c r="E15" s="6">
        <f>SUM('Model inputs'!E16,'Model inputs'!E17)</f>
        <v>571.9699182094</v>
      </c>
      <c r="F15" s="6">
        <f>SUM('Model inputs'!F16,'Model inputs'!F17)</f>
        <v>652.1538033203981</v>
      </c>
      <c r="G15" s="6">
        <f>SUM('Model inputs'!G16,'Model inputs'!G17)</f>
        <v>727.4444468654835</v>
      </c>
      <c r="H15" s="6">
        <f>SUM('Model inputs'!H16,'Model inputs'!H17)</f>
        <v>798.187664092641</v>
      </c>
      <c r="I15" s="6">
        <f>SUM('Model inputs'!I16,'Model inputs'!I17)</f>
        <v>864.7029743523337</v>
      </c>
      <c r="J15" s="6">
        <f>SUM('Model inputs'!J16,'Model inputs'!J17)</f>
        <v>927.2856636896381</v>
      </c>
      <c r="K15" s="6">
        <f>SUM('Model inputs'!K16,'Model inputs'!K17)</f>
        <v>986.2086836613933</v>
      </c>
      <c r="L15" s="6">
        <f>SUM('Model inputs'!L16,'Model inputs'!L17)</f>
        <v>1041.7243994434002</v>
      </c>
      <c r="M15" s="6">
        <f>SUM('Model inputs'!M16,'Model inputs'!M17)</f>
        <v>1094.0661992485993</v>
      </c>
      <c r="N15" s="6">
        <f>SUM('Model inputs'!N16,'Model inputs'!N17)</f>
        <v>1143.449976116562</v>
      </c>
    </row>
    <row r="16" outlineLevel="1">
      <c r="A16" t="inlineStr" s="13">
        <is>
          <t xml:space="preserve">Gross profit (USD) &gt; Classroom</t>
        </is>
      </c>
      <c r="B16" s="8">
        <f>'Model inputs'!B10</f>
        <v>0</v>
      </c>
      <c r="C16" s="8">
        <f>'Model inputs'!C43-'Model inputs'!C34</f>
        <v>144.33903701713652</v>
      </c>
      <c r="D16" s="8">
        <f>'Model inputs'!D43-'Model inputs'!D34</f>
        <v>176.76625478664403</v>
      </c>
      <c r="E16" s="8">
        <f>'Model inputs'!E43-'Model inputs'!E34</f>
        <v>208.14711787929417</v>
      </c>
      <c r="F16" s="8">
        <f>'Model inputs'!F43-'Model inputs'!F34</f>
        <v>238.5445418309825</v>
      </c>
      <c r="G16" s="8">
        <f>'Model inputs'!G43-'Model inputs'!G34</f>
        <v>268.00370074787037</v>
      </c>
      <c r="H16" s="8">
        <f>'Model inputs'!H43-'Model inputs'!H34</f>
        <v>296.5614107439492</v>
      </c>
      <c r="I16" s="8">
        <f>'Model inputs'!I43-'Model inputs'!I34</f>
        <v>324.2499038525208</v>
      </c>
      <c r="J16" s="8">
        <f>'Model inputs'!J43-'Model inputs'!J34</f>
        <v>351.0985585019078</v>
      </c>
      <c r="K16" s="8">
        <f>'Model inputs'!K43-'Model inputs'!K34</f>
        <v>377.1347771840826</v>
      </c>
      <c r="L16" s="8">
        <f>'Model inputs'!L43-'Model inputs'!L34</f>
        <v>402.38446980769754</v>
      </c>
      <c r="M16" s="8">
        <f>'Model inputs'!M43-'Model inputs'!M34</f>
        <v>426.8723394234082</v>
      </c>
      <c r="N16" s="8">
        <f>'Model inputs'!N43-'Model inputs'!N34</f>
        <v>450.62206218621407</v>
      </c>
    </row>
    <row r="17" outlineLevel="1">
      <c r="A17" t="inlineStr" s="13">
        <is>
          <t xml:space="preserve">Gross profit (USD) &gt; Household</t>
        </is>
      </c>
      <c r="B17" s="8">
        <f>'Model inputs'!B11</f>
        <v>0</v>
      </c>
      <c r="C17" s="8">
        <f>'Model inputs'!C44-'Model inputs'!C35</f>
        <v>251.05500898286348</v>
      </c>
      <c r="D17" s="8">
        <f>'Model inputs'!D44-'Model inputs'!D35</f>
        <v>309.752185033356</v>
      </c>
      <c r="E17" s="8">
        <f>'Model inputs'!E44-'Model inputs'!E35</f>
        <v>363.8228003301058</v>
      </c>
      <c r="F17" s="8">
        <f>'Model inputs'!F44-'Model inputs'!F35</f>
        <v>413.60926148941553</v>
      </c>
      <c r="G17" s="8">
        <f>'Model inputs'!G44-'Model inputs'!G35</f>
        <v>459.44074611761323</v>
      </c>
      <c r="H17" s="8">
        <f>'Model inputs'!H44-'Model inputs'!H35</f>
        <v>501.62625334869176</v>
      </c>
      <c r="I17" s="8">
        <f>'Model inputs'!I44-'Model inputs'!I35</f>
        <v>540.453070499813</v>
      </c>
      <c r="J17" s="8">
        <f>'Model inputs'!J44-'Model inputs'!J35</f>
        <v>576.1871051877304</v>
      </c>
      <c r="K17" s="8">
        <f>'Model inputs'!K44-'Model inputs'!K35</f>
        <v>609.0739064773106</v>
      </c>
      <c r="L17" s="8">
        <f>'Model inputs'!L44-'Model inputs'!L35</f>
        <v>639.3399296357026</v>
      </c>
      <c r="M17" s="8">
        <f>'Model inputs'!M44-'Model inputs'!M35</f>
        <v>667.1938598251911</v>
      </c>
      <c r="N17" s="8">
        <f>'Model inputs'!N44-'Model inputs'!N35</f>
        <v>692.8279139303479</v>
      </c>
    </row>
    <row r="18">
      <c r="A18" t="inlineStr" s="12">
        <is>
          <t xml:space="preserve">Net cash flow (USD) · Main Scenario</t>
        </is>
      </c>
      <c r="B18" s="8">
        <v>0</v>
      </c>
      <c r="C18" s="8">
        <f>'Model inputs'!C9-'Model inputs'!C21</f>
        <v>359.494696</v>
      </c>
      <c r="D18" s="8">
        <f>'Model inputs'!D9-'Model inputs'!D21</f>
        <v>395.84389032</v>
      </c>
      <c r="E18" s="8">
        <f>'Model inputs'!E9-'Model inputs'!E21</f>
        <v>429.87065079440004</v>
      </c>
      <c r="F18" s="8">
        <f>'Model inputs'!F9-'Model inputs'!F21</f>
        <v>461.743207079848</v>
      </c>
      <c r="G18" s="8">
        <f>'Model inputs'!G9-'Model inputs'!G21</f>
        <v>491.61685741199017</v>
      </c>
      <c r="H18" s="8">
        <f>'Model inputs'!H9-'Model inputs'!H21</f>
        <v>519.6349873106051</v>
      </c>
      <c r="I18" s="8">
        <f>'Model inputs'!I9-'Model inputs'!I21</f>
        <v>545.9300072625836</v>
      </c>
      <c r="J18" s="8">
        <f>'Model inputs'!J9-'Model inputs'!J21</f>
        <v>570.6242158502989</v>
      </c>
      <c r="K18" s="8">
        <f>'Model inputs'!K9-'Model inputs'!K21</f>
        <v>593.8305942759353</v>
      </c>
      <c r="L18" s="8">
        <f>'Model inputs'!L9-'Model inputs'!L21</f>
        <v>615.6535377567111</v>
      </c>
      <c r="M18" s="8">
        <f>'Model inputs'!M9-'Model inputs'!M21</f>
        <v>636.1895288283392</v>
      </c>
      <c r="N18" s="8">
        <f>'Model inputs'!N9-'Model inputs'!N21</f>
        <v>655.5277571914723</v>
      </c>
    </row>
    <row r="19">
      <c r="A19" t="inlineStr" s="12">
        <is>
          <t xml:space="preserve">Net cash flow (USD) · Downside</t>
        </is>
      </c>
      <c r="B19" s="8">
        <v>0</v>
      </c>
      <c r="C19" s="8">
        <f>'Model inputs'!C12-'Model inputs'!C22</f>
        <v>190.47424</v>
      </c>
      <c r="D19" s="8">
        <f>'Model inputs'!D12-'Model inputs'!D22</f>
        <v>200.8759200000001</v>
      </c>
      <c r="E19" s="8">
        <f>'Model inputs'!E12-'Model inputs'!E22</f>
        <v>209.97608863999994</v>
      </c>
      <c r="F19" s="8">
        <f>'Model inputs'!F12-'Model inputs'!F22</f>
        <v>217.95444818560009</v>
      </c>
      <c r="G19" s="8">
        <f>'Model inputs'!G12-'Model inputs'!G22</f>
        <v>224.96467702886406</v>
      </c>
      <c r="H19" s="8">
        <f>'Model inputs'!H12-'Model inputs'!H22</f>
        <v>231.13827738137223</v>
      </c>
      <c r="I19" s="8">
        <f>'Model inputs'!I12-'Model inputs'!I22</f>
        <v>236.5878491665939</v>
      </c>
      <c r="J19" s="8">
        <f>'Model inputs'!J12-'Model inputs'!J22</f>
        <v>241.40987598048673</v>
      </c>
      <c r="K19" s="8">
        <f>'Model inputs'!K12-'Model inputs'!K22</f>
        <v>245.68709612096256</v>
      </c>
      <c r="L19" s="8">
        <f>'Model inputs'!L12-'Model inputs'!L22</f>
        <v>249.49052074811425</v>
      </c>
      <c r="M19" s="8">
        <f>'Model inputs'!M12-'Model inputs'!M22</f>
        <v>252.88115193847528</v>
      </c>
      <c r="N19" s="8">
        <f>'Model inputs'!N12-'Model inputs'!N22</f>
        <v>255.9114454921276</v>
      </c>
    </row>
    <row r="20">
      <c r="A20" t="inlineStr" s="12">
        <is>
          <t xml:space="preserve">Net cash flow (USD) · Growth</t>
        </is>
      </c>
      <c r="B20" s="8">
        <v>0</v>
      </c>
      <c r="C20" s="8">
        <f>'Model inputs'!C15-'Model inputs'!C23</f>
        <v>345.394046</v>
      </c>
      <c r="D20" s="8">
        <f>'Model inputs'!D15-'Model inputs'!D23</f>
        <v>436.51843982</v>
      </c>
      <c r="E20" s="8">
        <f>'Model inputs'!E15-'Model inputs'!E23</f>
        <v>521.9699182094</v>
      </c>
      <c r="F20" s="8">
        <f>'Model inputs'!F15-'Model inputs'!F23</f>
        <v>602.1538033203981</v>
      </c>
      <c r="G20" s="8">
        <f>'Model inputs'!G15-'Model inputs'!G23</f>
        <v>677.4444468654835</v>
      </c>
      <c r="H20" s="8">
        <f>'Model inputs'!H15-'Model inputs'!H23</f>
        <v>748.187664092641</v>
      </c>
      <c r="I20" s="8">
        <f>'Model inputs'!I15-'Model inputs'!I23</f>
        <v>814.7029743523337</v>
      </c>
      <c r="J20" s="8">
        <f>'Model inputs'!J15-'Model inputs'!J23</f>
        <v>877.2856636896381</v>
      </c>
      <c r="K20" s="8">
        <f>'Model inputs'!K15-'Model inputs'!K23</f>
        <v>936.2086836613933</v>
      </c>
      <c r="L20" s="8">
        <f>'Model inputs'!L15-'Model inputs'!L23</f>
        <v>991.7243994434002</v>
      </c>
      <c r="M20" s="8">
        <f>'Model inputs'!M15-'Model inputs'!M23</f>
        <v>1044.0661992485993</v>
      </c>
      <c r="N20" s="8">
        <f>'Model inputs'!N15-'Model inputs'!N23</f>
        <v>1093.449976116562</v>
      </c>
    </row>
    <row r="21">
      <c r="A21" t="inlineStr" s="12">
        <is>
          <t xml:space="preserve">Other fixed costs (USD) · Main Scenario</t>
        </is>
      </c>
      <c r="B21" s="8">
        <v>0</v>
      </c>
      <c r="C21" s="8">
        <f>IF('Model inputs'!O24="","",'Model inputs'!O24)</f>
        <v>50</v>
      </c>
      <c r="D21" s="8">
        <f>IF('Model inputs'!O24="","",'Model inputs'!O24)</f>
        <v>50</v>
      </c>
      <c r="E21" s="8">
        <f>IF('Model inputs'!O24="","",'Model inputs'!O24)</f>
        <v>50</v>
      </c>
      <c r="F21" s="8">
        <f>IF('Model inputs'!O24="","",'Model inputs'!O24)</f>
        <v>50</v>
      </c>
      <c r="G21" s="8">
        <f>IF('Model inputs'!O24="","",'Model inputs'!O24)</f>
        <v>50</v>
      </c>
      <c r="H21" s="8">
        <f>IF('Model inputs'!O24="","",'Model inputs'!O24)</f>
        <v>50</v>
      </c>
      <c r="I21" s="8">
        <f>IF('Model inputs'!O24="","",'Model inputs'!O24)</f>
        <v>50</v>
      </c>
      <c r="J21" s="8">
        <f>IF('Model inputs'!O24="","",'Model inputs'!O24)</f>
        <v>50</v>
      </c>
      <c r="K21" s="8">
        <f>IF('Model inputs'!O24="","",'Model inputs'!O24)</f>
        <v>50</v>
      </c>
      <c r="L21" s="8">
        <f>IF('Model inputs'!O24="","",'Model inputs'!O24)</f>
        <v>50</v>
      </c>
      <c r="M21" s="8">
        <f>IF('Model inputs'!O24="","",'Model inputs'!O24)</f>
        <v>50</v>
      </c>
      <c r="N21" s="8">
        <f>IF('Model inputs'!O24="","",'Model inputs'!O24)</f>
        <v>50</v>
      </c>
    </row>
    <row r="22">
      <c r="A22" t="inlineStr" s="12">
        <is>
          <t xml:space="preserve">Other fixed costs (USD) · Downside</t>
        </is>
      </c>
      <c r="B22" s="8">
        <v>0</v>
      </c>
      <c r="C22" s="8">
        <f>IF('Model inputs'!O25="","",'Model inputs'!O25)</f>
        <v>50</v>
      </c>
      <c r="D22" s="8">
        <f>IF('Model inputs'!O25="","",'Model inputs'!O25)</f>
        <v>50</v>
      </c>
      <c r="E22" s="8">
        <f>IF('Model inputs'!O25="","",'Model inputs'!O25)</f>
        <v>50</v>
      </c>
      <c r="F22" s="8">
        <f>IF('Model inputs'!O25="","",'Model inputs'!O25)</f>
        <v>50</v>
      </c>
      <c r="G22" s="8">
        <f>IF('Model inputs'!O25="","",'Model inputs'!O25)</f>
        <v>50</v>
      </c>
      <c r="H22" s="8">
        <f>IF('Model inputs'!O25="","",'Model inputs'!O25)</f>
        <v>50</v>
      </c>
      <c r="I22" s="8">
        <f>IF('Model inputs'!O25="","",'Model inputs'!O25)</f>
        <v>50</v>
      </c>
      <c r="J22" s="8">
        <f>IF('Model inputs'!O25="","",'Model inputs'!O25)</f>
        <v>50</v>
      </c>
      <c r="K22" s="8">
        <f>IF('Model inputs'!O25="","",'Model inputs'!O25)</f>
        <v>50</v>
      </c>
      <c r="L22" s="8">
        <f>IF('Model inputs'!O25="","",'Model inputs'!O25)</f>
        <v>50</v>
      </c>
      <c r="M22" s="8">
        <f>IF('Model inputs'!O25="","",'Model inputs'!O25)</f>
        <v>50</v>
      </c>
      <c r="N22" s="8">
        <f>IF('Model inputs'!O25="","",'Model inputs'!O25)</f>
        <v>50</v>
      </c>
    </row>
    <row r="23">
      <c r="A23" t="inlineStr" s="12">
        <is>
          <t xml:space="preserve">Other fixed costs (USD) · Growth</t>
        </is>
      </c>
      <c r="B23" s="8">
        <v>0</v>
      </c>
      <c r="C23" s="8">
        <f>IF('Model inputs'!O26="","",'Model inputs'!O26)</f>
        <v>50</v>
      </c>
      <c r="D23" s="8">
        <f>IF('Model inputs'!O26="","",'Model inputs'!O26)</f>
        <v>50</v>
      </c>
      <c r="E23" s="8">
        <f>IF('Model inputs'!O26="","",'Model inputs'!O26)</f>
        <v>50</v>
      </c>
      <c r="F23" s="8">
        <f>IF('Model inputs'!O26="","",'Model inputs'!O26)</f>
        <v>50</v>
      </c>
      <c r="G23" s="8">
        <f>IF('Model inputs'!O26="","",'Model inputs'!O26)</f>
        <v>50</v>
      </c>
      <c r="H23" s="8">
        <f>IF('Model inputs'!O26="","",'Model inputs'!O26)</f>
        <v>50</v>
      </c>
      <c r="I23" s="8">
        <f>IF('Model inputs'!O26="","",'Model inputs'!O26)</f>
        <v>50</v>
      </c>
      <c r="J23" s="8">
        <f>IF('Model inputs'!O26="","",'Model inputs'!O26)</f>
        <v>50</v>
      </c>
      <c r="K23" s="8">
        <f>IF('Model inputs'!O26="","",'Model inputs'!O26)</f>
        <v>50</v>
      </c>
      <c r="L23" s="8">
        <f>IF('Model inputs'!O26="","",'Model inputs'!O26)</f>
        <v>50</v>
      </c>
      <c r="M23" s="8">
        <f>IF('Model inputs'!O26="","",'Model inputs'!O26)</f>
        <v>50</v>
      </c>
      <c r="N23" s="8">
        <f>IF('Model inputs'!O26="","",'Model inputs'!O26)</f>
        <v>50</v>
      </c>
    </row>
    <row r="24">
      <c r="A24" t="inlineStr" s="12">
        <is>
          <t xml:space="preserve">Other fixed costs per month (USD, assumed) · Main Scenario</t>
        </is>
      </c>
      <c r="O24" s="8">
        <f>50</f>
        <v>50</v>
      </c>
    </row>
    <row r="25">
      <c r="A25" t="inlineStr" s="12">
        <is>
          <t xml:space="preserve">Other fixed costs per month (USD, assumed) · Downside</t>
        </is>
      </c>
      <c r="O25" s="8">
        <f>'Model inputs'!O24</f>
        <v>50</v>
      </c>
    </row>
    <row r="26">
      <c r="A26" t="inlineStr" s="12">
        <is>
          <t xml:space="preserve">Other fixed costs per month (USD, assumed) · Growth</t>
        </is>
      </c>
      <c r="O26" s="8">
        <f>'Model inputs'!O24</f>
        <v>50</v>
      </c>
    </row>
    <row r="27">
      <c r="A27" t="inlineStr" s="12">
        <is>
          <t xml:space="preserve">Infra and inference (USD)</t>
        </is>
      </c>
      <c r="B27" s="6">
        <f>SUM('Model inputs'!B28,'Model inputs'!B29)</f>
        <v>0</v>
      </c>
      <c r="C27" s="6">
        <f>SUM('Model inputs'!C28,'Model inputs'!C29)</f>
        <v>213.957304</v>
      </c>
      <c r="D27" s="6">
        <f>SUM('Model inputs'!D28,'Model inputs'!D29)</f>
        <v>228.16694967999996</v>
      </c>
      <c r="E27" s="6">
        <f>SUM('Model inputs'!E28,'Model inputs'!E29)</f>
        <v>241.63887200559998</v>
      </c>
      <c r="F27" s="6">
        <f>SUM('Model inputs'!F28,'Model inputs'!F29)</f>
        <v>254.42011739615197</v>
      </c>
      <c r="G27" s="6">
        <f>SUM('Model inputs'!G28,'Model inputs'!G29)</f>
        <v>266.5543277009298</v>
      </c>
      <c r="H27" s="6">
        <f>SUM('Model inputs'!H28,'Model inputs'!H29)</f>
        <v>278.0820017904313</v>
      </c>
      <c r="I27" s="6">
        <f>SUM('Model inputs'!I28,'Model inputs'!I29)</f>
        <v>289.0407365436054</v>
      </c>
      <c r="J27" s="6">
        <f>SUM('Model inputs'!J28,'Model inputs'!J29)</f>
        <v>299.46544886963335</v>
      </c>
      <c r="K27" s="6">
        <f>SUM('Model inputs'!K28,'Model inputs'!K29)</f>
        <v>309.3885802720936</v>
      </c>
      <c r="L27" s="6">
        <f>SUM('Model inputs'!L28,'Model inputs'!L29)</f>
        <v>318.84028534299597</v>
      </c>
      <c r="M27" s="6">
        <f>SUM('Model inputs'!M28,'Model inputs'!M29)</f>
        <v>327.8486054634462</v>
      </c>
      <c r="N27" s="6">
        <f>SUM('Model inputs'!N28,'Model inputs'!N29)</f>
        <v>336.4396288858236</v>
      </c>
    </row>
    <row r="28" outlineLevel="1">
      <c r="A28" t="inlineStr" s="13">
        <is>
          <t xml:space="preserve">Infra and inference (USD) &gt; Classroom</t>
        </is>
      </c>
      <c r="B28" s="8">
        <f>0</f>
        <v>0</v>
      </c>
      <c r="C28" s="8">
        <f>'Model inputs'!C58+'Model inputs'!C49</f>
        <v>138.21061837254513</v>
      </c>
      <c r="D28" s="8">
        <f>'Model inputs'!D58+'Model inputs'!D49</f>
        <v>145.98859140102766</v>
      </c>
      <c r="E28" s="8">
        <f>'Model inputs'!E58+'Model inputs'!E49</f>
        <v>153.58616797287212</v>
      </c>
      <c r="F28" s="8">
        <f>'Model inputs'!F58+'Model inputs'!F49</f>
        <v>160.99503015546264</v>
      </c>
      <c r="G28" s="8">
        <f>'Model inputs'!G58+'Model inputs'!G49</f>
        <v>168.21146196204313</v>
      </c>
      <c r="H28" s="8">
        <f>'Model inputs'!H58+'Model inputs'!H49</f>
        <v>175.23461756049974</v>
      </c>
      <c r="I28" s="8">
        <f>'Model inputs'!I58+'Model inputs'!I49</f>
        <v>182.06549196372225</v>
      </c>
      <c r="J28" s="8">
        <f>'Model inputs'!J58+'Model inputs'!J49</f>
        <v>188.7062836987336</v>
      </c>
      <c r="K28" s="8">
        <f>'Model inputs'!K58+'Model inputs'!K49</f>
        <v>195.15998645146684</v>
      </c>
      <c r="L28" s="8">
        <f>'Model inputs'!L58+'Model inputs'!L49</f>
        <v>201.43011977777766</v>
      </c>
      <c r="M28" s="8">
        <f>'Model inputs'!M58+'Model inputs'!M49</f>
        <v>207.52054714990663</v>
      </c>
      <c r="N28" s="8">
        <f>'Model inputs'!N58+'Model inputs'!N49</f>
        <v>213.43535046831445</v>
      </c>
    </row>
    <row r="29" outlineLevel="1">
      <c r="A29" t="inlineStr" s="13">
        <is>
          <t xml:space="preserve">Infra and inference (USD) &gt; Household</t>
        </is>
      </c>
      <c r="B29" s="8">
        <f>0</f>
        <v>0</v>
      </c>
      <c r="C29" s="8">
        <f>'Model inputs'!C59+'Model inputs'!C50</f>
        <v>75.74668562745487</v>
      </c>
      <c r="D29" s="8">
        <f>'Model inputs'!D59+'Model inputs'!D50</f>
        <v>82.17835827897231</v>
      </c>
      <c r="E29" s="8">
        <f>'Model inputs'!E59+'Model inputs'!E50</f>
        <v>88.05270403272786</v>
      </c>
      <c r="F29" s="8">
        <f>'Model inputs'!F59+'Model inputs'!F50</f>
        <v>93.42508724068934</v>
      </c>
      <c r="G29" s="8">
        <f>'Model inputs'!G59+'Model inputs'!G50</f>
        <v>98.34286573888666</v>
      </c>
      <c r="H29" s="8">
        <f>'Model inputs'!H59+'Model inputs'!H50</f>
        <v>102.84738422993156</v>
      </c>
      <c r="I29" s="8">
        <f>'Model inputs'!I59+'Model inputs'!I50</f>
        <v>106.97524457988318</v>
      </c>
      <c r="J29" s="8">
        <f>'Model inputs'!J59+'Model inputs'!J50</f>
        <v>110.75916517089972</v>
      </c>
      <c r="K29" s="8">
        <f>'Model inputs'!K59+'Model inputs'!K50</f>
        <v>114.22859382062673</v>
      </c>
      <c r="L29" s="8">
        <f>'Model inputs'!L59+'Model inputs'!L50</f>
        <v>117.41016556521832</v>
      </c>
      <c r="M29" s="8">
        <f>'Model inputs'!M59+'Model inputs'!M50</f>
        <v>120.32805831353954</v>
      </c>
      <c r="N29" s="8">
        <f>'Model inputs'!N59+'Model inputs'!N50</f>
        <v>123.00427841750917</v>
      </c>
    </row>
    <row r="30">
      <c r="A30" t="inlineStr" s="12">
        <is>
          <t xml:space="preserve">Infra and inference (USD)</t>
        </is>
      </c>
      <c r="B30" s="6">
        <f>SUM('Model inputs'!B31,'Model inputs'!B32)</f>
        <v>0</v>
      </c>
      <c r="C30" s="6">
        <f>SUM('Model inputs'!C31,'Model inputs'!C32)</f>
        <v>354.70576</v>
      </c>
      <c r="D30" s="6">
        <f>SUM('Model inputs'!D31,'Model inputs'!D32)</f>
        <v>367.0910799999999</v>
      </c>
      <c r="E30" s="6">
        <f>SUM('Model inputs'!E31,'Model inputs'!E32)</f>
        <v>378.3412213600001</v>
      </c>
      <c r="F30" s="6">
        <f>SUM('Model inputs'!F31,'Model inputs'!F32)</f>
        <v>388.5831037144</v>
      </c>
      <c r="G30" s="6">
        <f>SUM('Model inputs'!G31,'Model inputs'!G32)</f>
        <v>397.92721018213604</v>
      </c>
      <c r="H30" s="6">
        <f>SUM('Model inputs'!H31,'Model inputs'!H32)</f>
        <v>406.4698967582178</v>
      </c>
      <c r="I30" s="6">
        <f>SUM('Model inputs'!I31,'Model inputs'!I32)</f>
        <v>414.2953646616832</v>
      </c>
      <c r="J30" s="6">
        <f>SUM('Model inputs'!J31,'Model inputs'!J32)</f>
        <v>421.477345634597</v>
      </c>
      <c r="K30" s="6">
        <f>SUM('Model inputs'!K31,'Model inputs'!K32)</f>
        <v>428.0805427212437</v>
      </c>
      <c r="L30" s="6">
        <f>SUM('Model inputs'!L31,'Model inputs'!L32)</f>
        <v>434.16186270898316</v>
      </c>
      <c r="M30" s="6">
        <f>SUM('Model inputs'!M31,'Model inputs'!M32)</f>
        <v>439.7714710148062</v>
      </c>
      <c r="N30" s="6">
        <f>SUM('Model inputs'!N31,'Model inputs'!N32)</f>
        <v>444.95369521202554</v>
      </c>
    </row>
    <row r="31" outlineLevel="1">
      <c r="A31" t="inlineStr" s="13">
        <is>
          <t xml:space="preserve">Infra and inference (USD) &gt; Classroom</t>
        </is>
      </c>
      <c r="B31" s="8">
        <f>'Model inputs'!B28</f>
        <v>0</v>
      </c>
      <c r="C31" s="8">
        <f>'Model inputs'!C61+'Model inputs'!C52</f>
        <v>234.7500364393965</v>
      </c>
      <c r="D31" s="8">
        <f>'Model inputs'!D61+'Model inputs'!D52</f>
        <v>242.7531266536368</v>
      </c>
      <c r="E31" s="8">
        <f>'Model inputs'!E61+'Model inputs'!E52</f>
        <v>250.29886575135663</v>
      </c>
      <c r="F31" s="8">
        <f>'Model inputs'!F61+'Model inputs'!F52</f>
        <v>257.40945249509565</v>
      </c>
      <c r="G31" s="8">
        <f>'Model inputs'!G61+'Model inputs'!G52</f>
        <v>264.1071619283068</v>
      </c>
      <c r="H31" s="8">
        <f>'Model inputs'!H61+'Model inputs'!H52</f>
        <v>270.4138999221687</v>
      </c>
      <c r="I31" s="8">
        <f>'Model inputs'!I61+'Model inputs'!I52</f>
        <v>276.3509409773522</v>
      </c>
      <c r="J31" s="8">
        <f>'Model inputs'!J61+'Model inputs'!J52</f>
        <v>281.93877705309853</v>
      </c>
      <c r="K31" s="8">
        <f>'Model inputs'!K61+'Model inputs'!K52</f>
        <v>287.1970353870292</v>
      </c>
      <c r="L31" s="8">
        <f>'Model inputs'!L61+'Model inputs'!L52</f>
        <v>292.1444400153975</v>
      </c>
      <c r="M31" s="8">
        <f>'Model inputs'!M61+'Model inputs'!M52</f>
        <v>296.7988013380306</v>
      </c>
      <c r="N31" s="8">
        <f>'Model inputs'!N61+'Model inputs'!N52</f>
        <v>301.1770237951144</v>
      </c>
    </row>
    <row r="32" outlineLevel="1">
      <c r="A32" t="inlineStr" s="13">
        <is>
          <t xml:space="preserve">Infra and inference (USD) &gt; Household</t>
        </is>
      </c>
      <c r="B32" s="8">
        <f>'Model inputs'!B29</f>
        <v>0</v>
      </c>
      <c r="C32" s="8">
        <f>'Model inputs'!C62+'Model inputs'!C53</f>
        <v>119.9557235606035</v>
      </c>
      <c r="D32" s="8">
        <f>'Model inputs'!D62+'Model inputs'!D53</f>
        <v>124.33795334636315</v>
      </c>
      <c r="E32" s="8">
        <f>'Model inputs'!E62+'Model inputs'!E53</f>
        <v>128.04235560864342</v>
      </c>
      <c r="F32" s="8">
        <f>'Model inputs'!F62+'Model inputs'!F53</f>
        <v>131.17365121930436</v>
      </c>
      <c r="G32" s="8">
        <f>'Model inputs'!G62+'Model inputs'!G53</f>
        <v>133.8200482538292</v>
      </c>
      <c r="H32" s="8">
        <f>'Model inputs'!H62+'Model inputs'!H53</f>
        <v>136.05599683604913</v>
      </c>
      <c r="I32" s="8">
        <f>'Model inputs'!I62+'Model inputs'!I53</f>
        <v>137.944423684331</v>
      </c>
      <c r="J32" s="8">
        <f>'Model inputs'!J62+'Model inputs'!J53</f>
        <v>139.53856858149842</v>
      </c>
      <c r="K32" s="8">
        <f>'Model inputs'!K62+'Model inputs'!K53</f>
        <v>140.88350733421453</v>
      </c>
      <c r="L32" s="8">
        <f>'Model inputs'!L62+'Model inputs'!L53</f>
        <v>142.01742269358567</v>
      </c>
      <c r="M32" s="8">
        <f>'Model inputs'!M62+'Model inputs'!M53</f>
        <v>142.97266967677558</v>
      </c>
      <c r="N32" s="8">
        <f>'Model inputs'!N62+'Model inputs'!N53</f>
        <v>143.77667141691114</v>
      </c>
    </row>
    <row r="33">
      <c r="A33" t="inlineStr" s="12">
        <is>
          <t xml:space="preserve">Infra and inference (USD)</t>
        </is>
      </c>
      <c r="B33" s="6">
        <f>SUM('Model inputs'!B34,'Model inputs'!B35)</f>
        <v>0</v>
      </c>
      <c r="C33" s="6">
        <f>SUM('Model inputs'!C34,'Model inputs'!C35)</f>
        <v>341.97795399999995</v>
      </c>
      <c r="D33" s="6">
        <f>SUM('Model inputs'!D34,'Model inputs'!D35)</f>
        <v>409.11880018</v>
      </c>
      <c r="E33" s="6">
        <f>SUM('Model inputs'!E34,'Model inputs'!E35)</f>
        <v>473.06889259059994</v>
      </c>
      <c r="F33" s="6">
        <f>SUM('Model inputs'!F34,'Model inputs'!F35)</f>
        <v>534.0180761156018</v>
      </c>
      <c r="G33" s="6">
        <f>SUM('Model inputs'!G34,'Model inputs'!G35)</f>
        <v>592.1429705106362</v>
      </c>
      <c r="H33" s="6">
        <f>SUM('Model inputs'!H34,'Model inputs'!H35)</f>
        <v>647.6079695395395</v>
      </c>
      <c r="I33" s="6">
        <f>SUM('Model inputs'!I34,'Model inputs'!I35)</f>
        <v>700.5661619460377</v>
      </c>
      <c r="J33" s="6">
        <f>SUM('Model inputs'!J34,'Model inputs'!J35)</f>
        <v>751.1601804609262</v>
      </c>
      <c r="K33" s="6">
        <f>SUM('Model inputs'!K34,'Model inputs'!K35)</f>
        <v>799.5229845505064</v>
      </c>
      <c r="L33" s="6">
        <f>SUM('Model inputs'!L34,'Model inputs'!L35)</f>
        <v>845.7785821571267</v>
      </c>
      <c r="M33" s="6">
        <f>SUM('Model inputs'!M34,'Model inputs'!M35)</f>
        <v>890.0426952640975</v>
      </c>
      <c r="N33" s="6">
        <f>SUM('Model inputs'!N34,'Model inputs'!N35)</f>
        <v>932.4233737321246</v>
      </c>
    </row>
    <row r="34" outlineLevel="1">
      <c r="A34" t="inlineStr" s="13">
        <is>
          <t xml:space="preserve">Infra and inference (USD) &gt; Classroom</t>
        </is>
      </c>
      <c r="B34" s="8">
        <f>'Model inputs'!B28</f>
        <v>0</v>
      </c>
      <c r="C34" s="8">
        <f>'Model inputs'!C64+'Model inputs'!C55</f>
        <v>223.96096298286344</v>
      </c>
      <c r="D34" s="8">
        <f>'Model inputs'!D64+'Model inputs'!D55</f>
        <v>267.48474521335595</v>
      </c>
      <c r="E34" s="8">
        <f>'Model inputs'!E64+'Model inputs'!E55</f>
        <v>309.7763521207058</v>
      </c>
      <c r="F34" s="8">
        <f>'Model inputs'!F64+'Model inputs'!F55</f>
        <v>350.8412240690174</v>
      </c>
      <c r="G34" s="8">
        <f>'Model inputs'!G64+'Model inputs'!G55</f>
        <v>390.70049217512957</v>
      </c>
      <c r="H34" s="8">
        <f>'Model inputs'!H64+'Model inputs'!H55</f>
        <v>429.3816563913608</v>
      </c>
      <c r="I34" s="8">
        <f>'Model inputs'!I64+'Model inputs'!I55</f>
        <v>466.91487126872994</v>
      </c>
      <c r="J34" s="8">
        <f>'Model inputs'!J64+'Model inputs'!J55</f>
        <v>503.3312733657054</v>
      </c>
      <c r="K34" s="8">
        <f>'Model inputs'!K64+'Model inputs'!K55</f>
        <v>538.6621597275022</v>
      </c>
      <c r="L34" s="8">
        <f>'Model inputs'!L64+'Model inputs'!L55</f>
        <v>572.9385589965395</v>
      </c>
      <c r="M34" s="8">
        <f>'Model inputs'!M64+'Model inputs'!M55</f>
        <v>606.1909985167019</v>
      </c>
      <c r="N34" s="8">
        <f>'Model inputs'!N64+'Model inputs'!N55</f>
        <v>638.4493756156927</v>
      </c>
    </row>
    <row r="35" outlineLevel="1">
      <c r="A35" t="inlineStr" s="13">
        <is>
          <t xml:space="preserve">Infra and inference (USD) &gt; Household</t>
        </is>
      </c>
      <c r="B35" s="8">
        <f>'Model inputs'!B29</f>
        <v>0</v>
      </c>
      <c r="C35" s="8">
        <f>'Model inputs'!C65+'Model inputs'!C56</f>
        <v>118.01699101713652</v>
      </c>
      <c r="D35" s="8">
        <f>'Model inputs'!D65+'Model inputs'!D56</f>
        <v>141.63405496664402</v>
      </c>
      <c r="E35" s="8">
        <f>'Model inputs'!E65+'Model inputs'!E56</f>
        <v>163.2925404698942</v>
      </c>
      <c r="F35" s="8">
        <f>'Model inputs'!F65+'Model inputs'!F56</f>
        <v>183.1768520465845</v>
      </c>
      <c r="G35" s="8">
        <f>'Model inputs'!G65+'Model inputs'!G56</f>
        <v>201.4424783355067</v>
      </c>
      <c r="H35" s="8">
        <f>'Model inputs'!H65+'Model inputs'!H56</f>
        <v>218.22631314817863</v>
      </c>
      <c r="I35" s="8">
        <f>'Model inputs'!I65+'Model inputs'!I56</f>
        <v>233.65129067730774</v>
      </c>
      <c r="J35" s="8">
        <f>'Model inputs'!J65+'Model inputs'!J56</f>
        <v>247.8289070952208</v>
      </c>
      <c r="K35" s="8">
        <f>'Model inputs'!K65+'Model inputs'!K56</f>
        <v>260.8608248230043</v>
      </c>
      <c r="L35" s="8">
        <f>'Model inputs'!L65+'Model inputs'!L56</f>
        <v>272.8400231605872</v>
      </c>
      <c r="M35" s="8">
        <f>'Model inputs'!M65+'Model inputs'!M56</f>
        <v>283.8516967473955</v>
      </c>
      <c r="N35" s="8">
        <f>'Model inputs'!N65+'Model inputs'!N56</f>
        <v>293.97399811643186</v>
      </c>
    </row>
    <row r="36">
      <c r="A36" t="inlineStr" s="12">
        <is>
          <t xml:space="preserve">Revenue (USD)</t>
        </is>
      </c>
      <c r="B36" s="6">
        <f>SUM('Model inputs'!B37,'Model inputs'!B38)</f>
        <v>0</v>
      </c>
      <c r="C36" s="6">
        <f>SUM('Model inputs'!C37,'Model inputs'!C38)</f>
        <v>623.452</v>
      </c>
      <c r="D36" s="6">
        <f>SUM('Model inputs'!D37,'Model inputs'!D38)</f>
        <v>674.0108399999999</v>
      </c>
      <c r="E36" s="6">
        <f>SUM('Model inputs'!E37,'Model inputs'!E38)</f>
        <v>721.5095228</v>
      </c>
      <c r="F36" s="6">
        <f>SUM('Model inputs'!F37,'Model inputs'!F38)</f>
        <v>766.163324476</v>
      </c>
      <c r="G36" s="6">
        <f>SUM('Model inputs'!G37,'Model inputs'!G38)</f>
        <v>808.17118511292</v>
      </c>
      <c r="H36" s="6">
        <f>SUM('Model inputs'!H37,'Model inputs'!H38)</f>
        <v>847.7169891010365</v>
      </c>
      <c r="I36" s="6">
        <f>SUM('Model inputs'!I37,'Model inputs'!I38)</f>
        <v>884.9707438061889</v>
      </c>
      <c r="J36" s="6">
        <f>SUM('Model inputs'!J37,'Model inputs'!J38)</f>
        <v>920.0896647199322</v>
      </c>
      <c r="K36" s="6">
        <f>SUM('Model inputs'!K37,'Model inputs'!K38)</f>
        <v>953.2191745480288</v>
      </c>
      <c r="L36" s="6">
        <f>SUM('Model inputs'!L37,'Model inputs'!L38)</f>
        <v>984.493823099707</v>
      </c>
      <c r="M36" s="6">
        <f>SUM('Model inputs'!M37,'Model inputs'!M38)</f>
        <v>1014.0381342917855</v>
      </c>
      <c r="N36" s="6">
        <f>SUM('Model inputs'!N37,'Model inputs'!N38)</f>
        <v>1041.967386077296</v>
      </c>
    </row>
    <row r="37" outlineLevel="1">
      <c r="A37" t="inlineStr" s="13">
        <is>
          <t xml:space="preserve">Revenue (USD) &gt; Classroom</t>
        </is>
      </c>
      <c r="B37" s="8">
        <f>0</f>
        <v>0</v>
      </c>
      <c r="C37" s="8">
        <f>'Model inputs'!C76+'Model inputs'!C67</f>
        <v>310.29999999999995</v>
      </c>
      <c r="D37" s="8">
        <f>'Model inputs'!D76+'Model inputs'!D67</f>
        <v>329.991</v>
      </c>
      <c r="E37" s="8">
        <f>'Model inputs'!E76+'Model inputs'!E67</f>
        <v>349.09127</v>
      </c>
      <c r="F37" s="8">
        <f>'Model inputs'!F76+'Model inputs'!F67</f>
        <v>367.6185319</v>
      </c>
      <c r="G37" s="8">
        <f>'Model inputs'!G76+'Model inputs'!G67</f>
        <v>385.589975943</v>
      </c>
      <c r="H37" s="8">
        <f>'Model inputs'!H76+'Model inputs'!H67</f>
        <v>403.02227666471003</v>
      </c>
      <c r="I37" s="8">
        <f>'Model inputs'!I76+'Model inputs'!I67</f>
        <v>419.9316083647687</v>
      </c>
      <c r="J37" s="8">
        <f>'Model inputs'!J76+'Model inputs'!J67</f>
        <v>436.33366011382566</v>
      </c>
      <c r="K37" s="8">
        <f>'Model inputs'!K76+'Model inputs'!K67</f>
        <v>452.2436503104108</v>
      </c>
      <c r="L37" s="8">
        <f>'Model inputs'!L76+'Model inputs'!L67</f>
        <v>467.67634080109855</v>
      </c>
      <c r="M37" s="8">
        <f>'Model inputs'!M76+'Model inputs'!M67</f>
        <v>482.6460505770656</v>
      </c>
      <c r="N37" s="8">
        <f>'Model inputs'!N76+'Model inputs'!N67</f>
        <v>497.16666905975364</v>
      </c>
    </row>
    <row r="38" outlineLevel="1">
      <c r="A38" t="inlineStr" s="13">
        <is>
          <t xml:space="preserve">Revenue (USD) &gt; Household</t>
        </is>
      </c>
      <c r="B38" s="8">
        <f>0</f>
        <v>0</v>
      </c>
      <c r="C38" s="8">
        <f>'Model inputs'!C77+'Model inputs'!C68</f>
        <v>313.152</v>
      </c>
      <c r="D38" s="8">
        <f>'Model inputs'!D77+'Model inputs'!D68</f>
        <v>344.01984</v>
      </c>
      <c r="E38" s="8">
        <f>'Model inputs'!E77+'Model inputs'!E68</f>
        <v>372.41825279999995</v>
      </c>
      <c r="F38" s="8">
        <f>'Model inputs'!F77+'Model inputs'!F68</f>
        <v>398.54479257599996</v>
      </c>
      <c r="G38" s="8">
        <f>'Model inputs'!G77+'Model inputs'!G68</f>
        <v>422.58120916992</v>
      </c>
      <c r="H38" s="8">
        <f>'Model inputs'!H77+'Model inputs'!H68</f>
        <v>444.69471243632637</v>
      </c>
      <c r="I38" s="8">
        <f>'Model inputs'!I77+'Model inputs'!I68</f>
        <v>465.0391354414202</v>
      </c>
      <c r="J38" s="8">
        <f>'Model inputs'!J77+'Model inputs'!J68</f>
        <v>483.75600460610656</v>
      </c>
      <c r="K38" s="8">
        <f>'Model inputs'!K77+'Model inputs'!K68</f>
        <v>500.97552423761806</v>
      </c>
      <c r="L38" s="8">
        <f>'Model inputs'!L77+'Model inputs'!L68</f>
        <v>516.8174822986085</v>
      </c>
      <c r="M38" s="8">
        <f>'Model inputs'!M77+'Model inputs'!M68</f>
        <v>531.3920837147199</v>
      </c>
      <c r="N38" s="8">
        <f>'Model inputs'!N77+'Model inputs'!N68</f>
        <v>544.8007170175423</v>
      </c>
    </row>
    <row r="39">
      <c r="A39" t="inlineStr" s="12">
        <is>
          <t xml:space="preserve">Revenue (USD)</t>
        </is>
      </c>
      <c r="B39" s="6">
        <f>SUM('Model inputs'!B40,'Model inputs'!B41)</f>
        <v>0</v>
      </c>
      <c r="C39" s="6">
        <f>SUM('Model inputs'!C40,'Model inputs'!C41)</f>
        <v>595.1800000000001</v>
      </c>
      <c r="D39" s="6">
        <f>SUM('Model inputs'!D40,'Model inputs'!D41)</f>
        <v>617.9670000000001</v>
      </c>
      <c r="E39" s="6">
        <f>SUM('Model inputs'!E40,'Model inputs'!E41)</f>
        <v>638.31731</v>
      </c>
      <c r="F39" s="6">
        <f>SUM('Model inputs'!F40,'Model inputs'!F41)</f>
        <v>656.5375519000002</v>
      </c>
      <c r="G39" s="6">
        <f>SUM('Model inputs'!G40,'Model inputs'!G41)</f>
        <v>672.891887211</v>
      </c>
      <c r="H39" s="6">
        <f>SUM('Model inputs'!H40,'Model inputs'!H41)</f>
        <v>687.6081741395901</v>
      </c>
      <c r="I39" s="6">
        <f>SUM('Model inputs'!I40,'Model inputs'!I41)</f>
        <v>700.8832138282771</v>
      </c>
      <c r="J39" s="6">
        <f>SUM('Model inputs'!J40,'Model inputs'!J41)</f>
        <v>712.8872216150837</v>
      </c>
      <c r="K39" s="6">
        <f>SUM('Model inputs'!K40,'Model inputs'!K41)</f>
        <v>723.7676388422062</v>
      </c>
      <c r="L39" s="6">
        <f>SUM('Model inputs'!L40,'Model inputs'!L41)</f>
        <v>733.6523834570974</v>
      </c>
      <c r="M39" s="6">
        <f>SUM('Model inputs'!M40,'Model inputs'!M41)</f>
        <v>742.6526229532815</v>
      </c>
      <c r="N39" s="6">
        <f>SUM('Model inputs'!N40,'Model inputs'!N41)</f>
        <v>750.8651407041532</v>
      </c>
    </row>
    <row r="40" outlineLevel="1">
      <c r="A40" t="inlineStr" s="13">
        <is>
          <t xml:space="preserve">Revenue (USD) &gt; Classroom</t>
        </is>
      </c>
      <c r="B40" s="8">
        <f>'Model inputs'!B37</f>
        <v>0</v>
      </c>
      <c r="C40" s="8">
        <f>'Model inputs'!C79+'Model inputs'!C70</f>
        <v>301.6</v>
      </c>
      <c r="D40" s="8">
        <f>'Model inputs'!D79+'Model inputs'!D70</f>
        <v>312.504</v>
      </c>
      <c r="E40" s="8">
        <f>'Model inputs'!E79+'Model inputs'!E70</f>
        <v>322.75376</v>
      </c>
      <c r="F40" s="8">
        <f>'Model inputs'!F79+'Model inputs'!F70</f>
        <v>332.3885344</v>
      </c>
      <c r="G40" s="8">
        <f>'Model inputs'!G79+'Model inputs'!G70</f>
        <v>341.44522233600003</v>
      </c>
      <c r="H40" s="8">
        <f>'Model inputs'!H79+'Model inputs'!H70</f>
        <v>349.95850899584</v>
      </c>
      <c r="I40" s="8">
        <f>'Model inputs'!I79+'Model inputs'!I70</f>
        <v>357.96099845608956</v>
      </c>
      <c r="J40" s="8">
        <f>'Model inputs'!J79+'Model inputs'!J70</f>
        <v>365.4833385487242</v>
      </c>
      <c r="K40" s="8">
        <f>'Model inputs'!K79+'Model inputs'!K70</f>
        <v>372.55433823580074</v>
      </c>
      <c r="L40" s="8">
        <f>'Model inputs'!L79+'Model inputs'!L70</f>
        <v>379.2010779416527</v>
      </c>
      <c r="M40" s="8">
        <f>'Model inputs'!M79+'Model inputs'!M70</f>
        <v>385.4490132651535</v>
      </c>
      <c r="N40" s="8">
        <f>'Model inputs'!N79+'Model inputs'!N70</f>
        <v>391.32207246924435</v>
      </c>
    </row>
    <row r="41" outlineLevel="1">
      <c r="A41" t="inlineStr" s="13">
        <is>
          <t xml:space="preserve">Revenue (USD) &gt; Household</t>
        </is>
      </c>
      <c r="B41" s="8">
        <f>'Model inputs'!B38</f>
        <v>0</v>
      </c>
      <c r="C41" s="8">
        <f>'Model inputs'!C80+'Model inputs'!C71</f>
        <v>293.58</v>
      </c>
      <c r="D41" s="8">
        <f>'Model inputs'!D80+'Model inputs'!D71</f>
        <v>305.463</v>
      </c>
      <c r="E41" s="8">
        <f>'Model inputs'!E80+'Model inputs'!E71</f>
        <v>315.56355</v>
      </c>
      <c r="F41" s="8">
        <f>'Model inputs'!F80+'Model inputs'!F71</f>
        <v>324.14901750000007</v>
      </c>
      <c r="G41" s="8">
        <f>'Model inputs'!G80+'Model inputs'!G71</f>
        <v>331.44666487500007</v>
      </c>
      <c r="H41" s="8">
        <f>'Model inputs'!H80+'Model inputs'!H71</f>
        <v>337.64966514375004</v>
      </c>
      <c r="I41" s="8">
        <f>'Model inputs'!I80+'Model inputs'!I71</f>
        <v>342.92221537218757</v>
      </c>
      <c r="J41" s="8">
        <f>'Model inputs'!J80+'Model inputs'!J71</f>
        <v>347.40388306635947</v>
      </c>
      <c r="K41" s="8">
        <f>'Model inputs'!K80+'Model inputs'!K71</f>
        <v>351.21330060640554</v>
      </c>
      <c r="L41" s="8">
        <f>'Model inputs'!L80+'Model inputs'!L71</f>
        <v>354.4513055154447</v>
      </c>
      <c r="M41" s="8">
        <f>'Model inputs'!M80+'Model inputs'!M71</f>
        <v>357.203609688128</v>
      </c>
      <c r="N41" s="8">
        <f>'Model inputs'!N80+'Model inputs'!N71</f>
        <v>359.5430682349088</v>
      </c>
    </row>
    <row r="42">
      <c r="A42" t="inlineStr" s="12">
        <is>
          <t xml:space="preserve">Revenue (USD)</t>
        </is>
      </c>
      <c r="B42" s="6">
        <f>SUM('Model inputs'!B43,'Model inputs'!B44)</f>
        <v>0</v>
      </c>
      <c r="C42" s="6">
        <f>SUM('Model inputs'!C43,'Model inputs'!C44)</f>
        <v>737.372</v>
      </c>
      <c r="D42" s="6">
        <f>SUM('Model inputs'!D43,'Model inputs'!D44)</f>
        <v>895.63724</v>
      </c>
      <c r="E42" s="6">
        <f>SUM('Model inputs'!E43,'Model inputs'!E44)</f>
        <v>1045.0388108</v>
      </c>
      <c r="F42" s="6">
        <f>SUM('Model inputs'!F43,'Model inputs'!F44)</f>
        <v>1186.171879436</v>
      </c>
      <c r="G42" s="6">
        <f>SUM('Model inputs'!G43,'Model inputs'!G44)</f>
        <v>1319.58741737612</v>
      </c>
      <c r="H42" s="6">
        <f>SUM('Model inputs'!H43,'Model inputs'!H44)</f>
        <v>1445.7956336321804</v>
      </c>
      <c r="I42" s="6">
        <f>SUM('Model inputs'!I43,'Model inputs'!I44)</f>
        <v>1565.2691362983714</v>
      </c>
      <c r="J42" s="6">
        <f>SUM('Model inputs'!J43,'Model inputs'!J44)</f>
        <v>1678.4458441505644</v>
      </c>
      <c r="K42" s="6">
        <f>SUM('Model inputs'!K43,'Model inputs'!K44)</f>
        <v>1785.7316682119</v>
      </c>
      <c r="L42" s="6">
        <f>SUM('Model inputs'!L43,'Model inputs'!L44)</f>
        <v>1887.5029816005267</v>
      </c>
      <c r="M42" s="6">
        <f>SUM('Model inputs'!M43,'Model inputs'!M44)</f>
        <v>1984.1088945126967</v>
      </c>
      <c r="N42" s="6">
        <f>SUM('Model inputs'!N43,'Model inputs'!N44)</f>
        <v>2075.8733498486863</v>
      </c>
    </row>
    <row r="43" outlineLevel="1">
      <c r="A43" t="inlineStr" s="13">
        <is>
          <t xml:space="preserve">Revenue (USD) &gt; Classroom</t>
        </is>
      </c>
      <c r="B43" s="8">
        <f>'Model inputs'!B37</f>
        <v>0</v>
      </c>
      <c r="C43" s="8">
        <f>'Model inputs'!C82+'Model inputs'!C73</f>
        <v>368.29999999999995</v>
      </c>
      <c r="D43" s="8">
        <f>'Model inputs'!D82+'Model inputs'!D73</f>
        <v>444.251</v>
      </c>
      <c r="E43" s="8">
        <f>'Model inputs'!E82+'Model inputs'!E73</f>
        <v>517.92347</v>
      </c>
      <c r="F43" s="8">
        <f>'Model inputs'!F82+'Model inputs'!F73</f>
        <v>589.3857658999999</v>
      </c>
      <c r="G43" s="8">
        <f>'Model inputs'!G82+'Model inputs'!G73</f>
        <v>658.7041929229999</v>
      </c>
      <c r="H43" s="8">
        <f>'Model inputs'!H82+'Model inputs'!H73</f>
        <v>725.94306713531</v>
      </c>
      <c r="I43" s="8">
        <f>'Model inputs'!I82+'Model inputs'!I73</f>
        <v>791.1647751212507</v>
      </c>
      <c r="J43" s="8">
        <f>'Model inputs'!J82+'Model inputs'!J73</f>
        <v>854.4298318676132</v>
      </c>
      <c r="K43" s="8">
        <f>'Model inputs'!K82+'Model inputs'!K73</f>
        <v>915.7969369115848</v>
      </c>
      <c r="L43" s="8">
        <f>'Model inputs'!L82+'Model inputs'!L73</f>
        <v>975.3230288042371</v>
      </c>
      <c r="M43" s="8">
        <f>'Model inputs'!M82+'Model inputs'!M73</f>
        <v>1033.0633379401102</v>
      </c>
      <c r="N43" s="8">
        <f>'Model inputs'!N82+'Model inputs'!N73</f>
        <v>1089.0714378019068</v>
      </c>
    </row>
    <row r="44" outlineLevel="1">
      <c r="A44" t="inlineStr" s="13">
        <is>
          <t xml:space="preserve">Revenue (USD) &gt; Household</t>
        </is>
      </c>
      <c r="B44" s="8">
        <f>'Model inputs'!B38</f>
        <v>0</v>
      </c>
      <c r="C44" s="8">
        <f>'Model inputs'!C83+'Model inputs'!C74</f>
        <v>369.072</v>
      </c>
      <c r="D44" s="8">
        <f>'Model inputs'!D83+'Model inputs'!D74</f>
        <v>451.38624</v>
      </c>
      <c r="E44" s="8">
        <f>'Model inputs'!E83+'Model inputs'!E74</f>
        <v>527.1153408</v>
      </c>
      <c r="F44" s="8">
        <f>'Model inputs'!F83+'Model inputs'!F74</f>
        <v>596.786113536</v>
      </c>
      <c r="G44" s="8">
        <f>'Model inputs'!G83+'Model inputs'!G74</f>
        <v>660.88322445312</v>
      </c>
      <c r="H44" s="8">
        <f>'Model inputs'!H83+'Model inputs'!H74</f>
        <v>719.8525664968704</v>
      </c>
      <c r="I44" s="8">
        <f>'Model inputs'!I83+'Model inputs'!I74</f>
        <v>774.1043611771207</v>
      </c>
      <c r="J44" s="8">
        <f>'Model inputs'!J83+'Model inputs'!J74</f>
        <v>824.0160122829511</v>
      </c>
      <c r="K44" s="8">
        <f>'Model inputs'!K83+'Model inputs'!K74</f>
        <v>869.934731300315</v>
      </c>
      <c r="L44" s="8">
        <f>'Model inputs'!L83+'Model inputs'!L74</f>
        <v>912.1799527962897</v>
      </c>
      <c r="M44" s="8">
        <f>'Model inputs'!M83+'Model inputs'!M74</f>
        <v>951.0455565725866</v>
      </c>
      <c r="N44" s="8">
        <f>'Model inputs'!N83+'Model inputs'!N74</f>
        <v>986.8019120467798</v>
      </c>
    </row>
    <row r="45">
      <c r="A45" t="inlineStr" s="12">
        <is>
          <t xml:space="preserve">Starting cash (USD, assumed) · Main Scenario</t>
        </is>
      </c>
      <c r="O45" s="8">
        <f>2000</f>
        <v>2000</v>
      </c>
    </row>
    <row r="46">
      <c r="A46" t="inlineStr" s="12">
        <is>
          <t xml:space="preserve">Starting cash (USD, assumed) · Downside</t>
        </is>
      </c>
      <c r="O46" s="8">
        <f>'Model inputs'!O45</f>
        <v>2000</v>
      </c>
    </row>
    <row r="47">
      <c r="A47" t="inlineStr" s="12">
        <is>
          <t xml:space="preserve">Starting cash (USD, assumed) · Growth</t>
        </is>
      </c>
      <c r="O47" s="8">
        <f>'Model inputs'!O45</f>
        <v>2000</v>
      </c>
    </row>
    <row r="48">
      <c r="A48" t="inlineStr" s="12">
        <is>
          <t xml:space="preserve">Hosting and neatlogs allocated by revenue (USD)</t>
        </is>
      </c>
      <c r="B48" s="6">
        <f>SUM('Model inputs'!B49,'Model inputs'!B50)</f>
        <v>0</v>
      </c>
      <c r="C48" s="6">
        <f>SUM('Model inputs'!C49,'Model inputs'!C50)</f>
        <v>25</v>
      </c>
      <c r="D48" s="6">
        <f>SUM('Model inputs'!D49,'Model inputs'!D50)</f>
        <v>25.000000000000004</v>
      </c>
      <c r="E48" s="6">
        <f>SUM('Model inputs'!E49,'Model inputs'!E50)</f>
        <v>24.999999999999996</v>
      </c>
      <c r="F48" s="6">
        <f>SUM('Model inputs'!F49,'Model inputs'!F50)</f>
        <v>25</v>
      </c>
      <c r="G48" s="6">
        <f>SUM('Model inputs'!G49,'Model inputs'!G50)</f>
        <v>25</v>
      </c>
      <c r="H48" s="6">
        <f>SUM('Model inputs'!H49,'Model inputs'!H50)</f>
        <v>24.999999999999996</v>
      </c>
      <c r="I48" s="6">
        <f>SUM('Model inputs'!I49,'Model inputs'!I50)</f>
        <v>25</v>
      </c>
      <c r="J48" s="6">
        <f>SUM('Model inputs'!J49,'Model inputs'!J50)</f>
        <v>25</v>
      </c>
      <c r="K48" s="6">
        <f>SUM('Model inputs'!K49,'Model inputs'!K50)</f>
        <v>25</v>
      </c>
      <c r="L48" s="6">
        <f>SUM('Model inputs'!L49,'Model inputs'!L50)</f>
        <v>25</v>
      </c>
      <c r="M48" s="6">
        <f>SUM('Model inputs'!M49,'Model inputs'!M50)</f>
        <v>25</v>
      </c>
      <c r="N48" s="6">
        <f>SUM('Model inputs'!N49,'Model inputs'!N50)</f>
        <v>25</v>
      </c>
    </row>
    <row r="49" outlineLevel="1">
      <c r="A49" t="inlineStr" s="13">
        <is>
          <t xml:space="preserve">Hosting and neatlogs allocated by revenue (USD) &gt; Classroom</t>
        </is>
      </c>
      <c r="B49" s="8">
        <f>0</f>
        <v>0</v>
      </c>
      <c r="C49" s="8">
        <f>('Model inputs'!O96+'Model inputs'!C99)*IFERROR('Model inputs'!C37/SUM('Model inputs'!C37,'Model inputs'!C38),0)</f>
        <v>12.44281837254512</v>
      </c>
      <c r="D49" s="8">
        <f>('Model inputs'!O96+'Model inputs'!D99)*IFERROR('Model inputs'!D37/SUM('Model inputs'!D37,'Model inputs'!D38),0)</f>
        <v>12.239825401027677</v>
      </c>
      <c r="E49" s="8">
        <f>('Model inputs'!O96+'Model inputs'!E99)*IFERROR('Model inputs'!E37/SUM('Model inputs'!E37,'Model inputs'!E38),0)</f>
        <v>12.095864952872109</v>
      </c>
      <c r="F49" s="8">
        <f>('Model inputs'!O96+'Model inputs'!F99)*IFERROR('Model inputs'!F37/SUM('Model inputs'!F37,'Model inputs'!F38),0)</f>
        <v>11.995436226062646</v>
      </c>
      <c r="G49" s="8">
        <f>('Model inputs'!O96+'Model inputs'!G99)*IFERROR('Model inputs'!G37/SUM('Model inputs'!G37,'Model inputs'!G38),0)</f>
        <v>11.927855850525166</v>
      </c>
      <c r="H49" s="8">
        <f>('Model inputs'!O96+'Model inputs'!H99)*IFERROR('Model inputs'!H37/SUM('Model inputs'!H37,'Model inputs'!H38),0)</f>
        <v>11.885519632327293</v>
      </c>
      <c r="I49" s="8">
        <f>('Model inputs'!O96+'Model inputs'!I99)*IFERROR('Model inputs'!I37/SUM('Model inputs'!I37,'Model inputs'!I38),0)</f>
        <v>11.862866973394967</v>
      </c>
      <c r="J49" s="8">
        <f>('Model inputs'!O96+'Model inputs'!J99)*IFERROR('Model inputs'!J37/SUM('Model inputs'!J37,'Model inputs'!J38),0)</f>
        <v>11.855737458116163</v>
      </c>
      <c r="K49" s="8">
        <f>('Model inputs'!O96+'Model inputs'!K99)*IFERROR('Model inputs'!K37/SUM('Model inputs'!K37,'Model inputs'!K38),0)</f>
        <v>11.86095659806789</v>
      </c>
      <c r="L49" s="8">
        <f>('Model inputs'!O96+'Model inputs'!L99)*IFERROR('Model inputs'!L37/SUM('Model inputs'!L37,'Model inputs'!L38),0)</f>
        <v>11.876060819980722</v>
      </c>
      <c r="M49" s="8">
        <f>('Model inputs'!O96+'Model inputs'!M99)*IFERROR('Model inputs'!M37/SUM('Model inputs'!M37,'Model inputs'!M38),0)</f>
        <v>11.899109960843594</v>
      </c>
      <c r="N49" s="8">
        <f>('Model inputs'!O96+'Model inputs'!N99)*IFERROR('Model inputs'!N37/SUM('Model inputs'!N37,'Model inputs'!N38),0)</f>
        <v>11.928556394923298</v>
      </c>
    </row>
    <row r="50" outlineLevel="1">
      <c r="A50" t="inlineStr" s="13">
        <is>
          <t xml:space="preserve">Hosting and neatlogs allocated by revenue (USD) &gt; Household</t>
        </is>
      </c>
      <c r="B50" s="8">
        <f>0</f>
        <v>0</v>
      </c>
      <c r="C50" s="8">
        <f>('Model inputs'!O96+'Model inputs'!C99)*IFERROR('Model inputs'!C38/SUM('Model inputs'!C37,'Model inputs'!C38),0)</f>
        <v>12.55718162745488</v>
      </c>
      <c r="D50" s="8">
        <f>('Model inputs'!O96+'Model inputs'!D99)*IFERROR('Model inputs'!D38/SUM('Model inputs'!D37,'Model inputs'!D38),0)</f>
        <v>12.760174598972327</v>
      </c>
      <c r="E50" s="8">
        <f>('Model inputs'!O96+'Model inputs'!E99)*IFERROR('Model inputs'!E38/SUM('Model inputs'!E37,'Model inputs'!E38),0)</f>
        <v>12.904135047127888</v>
      </c>
      <c r="F50" s="8">
        <f>('Model inputs'!O96+'Model inputs'!F99)*IFERROR('Model inputs'!F38/SUM('Model inputs'!F37,'Model inputs'!F38),0)</f>
        <v>13.004563773937353</v>
      </c>
      <c r="G50" s="8">
        <f>('Model inputs'!O96+'Model inputs'!G99)*IFERROR('Model inputs'!G38/SUM('Model inputs'!G37,'Model inputs'!G38),0)</f>
        <v>13.072144149474832</v>
      </c>
      <c r="H50" s="8">
        <f>('Model inputs'!O96+'Model inputs'!H99)*IFERROR('Model inputs'!H38/SUM('Model inputs'!H37,'Model inputs'!H38),0)</f>
        <v>13.114480367672703</v>
      </c>
      <c r="I50" s="8">
        <f>('Model inputs'!O96+'Model inputs'!I99)*IFERROR('Model inputs'!I38/SUM('Model inputs'!I37,'Model inputs'!I38),0)</f>
        <v>13.137133026605033</v>
      </c>
      <c r="J50" s="8">
        <f>('Model inputs'!O96+'Model inputs'!J99)*IFERROR('Model inputs'!J38/SUM('Model inputs'!J37,'Model inputs'!J38),0)</f>
        <v>13.144262541883837</v>
      </c>
      <c r="K50" s="8">
        <f>('Model inputs'!O96+'Model inputs'!K99)*IFERROR('Model inputs'!K38/SUM('Model inputs'!K37,'Model inputs'!K38),0)</f>
        <v>13.13904340193211</v>
      </c>
      <c r="L50" s="8">
        <f>('Model inputs'!O96+'Model inputs'!L99)*IFERROR('Model inputs'!L38/SUM('Model inputs'!L37,'Model inputs'!L38),0)</f>
        <v>13.123939180019278</v>
      </c>
      <c r="M50" s="8">
        <f>('Model inputs'!O96+'Model inputs'!M99)*IFERROR('Model inputs'!M38/SUM('Model inputs'!M37,'Model inputs'!M38),0)</f>
        <v>13.100890039156404</v>
      </c>
      <c r="N50" s="8">
        <f>('Model inputs'!O96+'Model inputs'!N99)*IFERROR('Model inputs'!N38/SUM('Model inputs'!N37,'Model inputs'!N38),0)</f>
        <v>13.071443605076702</v>
      </c>
    </row>
    <row r="51">
      <c r="A51" t="inlineStr" s="12">
        <is>
          <t xml:space="preserve">Hosting and neatlogs allocated by revenue (USD)</t>
        </is>
      </c>
      <c r="B51" s="6">
        <f>SUM('Model inputs'!B52,'Model inputs'!B53)</f>
        <v>0</v>
      </c>
      <c r="C51" s="6">
        <f>SUM('Model inputs'!C52,'Model inputs'!C53)</f>
        <v>25</v>
      </c>
      <c r="D51" s="6">
        <f>SUM('Model inputs'!D52,'Model inputs'!D53)</f>
        <v>24.999999999999996</v>
      </c>
      <c r="E51" s="6">
        <f>SUM('Model inputs'!E52,'Model inputs'!E53)</f>
        <v>25</v>
      </c>
      <c r="F51" s="6">
        <f>SUM('Model inputs'!F52,'Model inputs'!F53)</f>
        <v>25</v>
      </c>
      <c r="G51" s="6">
        <f>SUM('Model inputs'!G52,'Model inputs'!G53)</f>
        <v>25.000000000000004</v>
      </c>
      <c r="H51" s="6">
        <f>SUM('Model inputs'!H52,'Model inputs'!H53)</f>
        <v>25</v>
      </c>
      <c r="I51" s="6">
        <f>SUM('Model inputs'!I52,'Model inputs'!I53)</f>
        <v>25</v>
      </c>
      <c r="J51" s="6">
        <f>SUM('Model inputs'!J52,'Model inputs'!J53)</f>
        <v>25</v>
      </c>
      <c r="K51" s="6">
        <f>SUM('Model inputs'!K52,'Model inputs'!K53)</f>
        <v>25</v>
      </c>
      <c r="L51" s="6">
        <f>SUM('Model inputs'!L52,'Model inputs'!L53)</f>
        <v>25</v>
      </c>
      <c r="M51" s="6">
        <f>SUM('Model inputs'!M52,'Model inputs'!M53)</f>
        <v>25</v>
      </c>
      <c r="N51" s="6">
        <f>SUM('Model inputs'!N52,'Model inputs'!N53)</f>
        <v>25</v>
      </c>
    </row>
    <row r="52" outlineLevel="1">
      <c r="A52" t="inlineStr" s="13">
        <is>
          <t xml:space="preserve">Hosting and neatlogs allocated by revenue (USD) &gt; Classroom</t>
        </is>
      </c>
      <c r="B52" s="8">
        <f>'Model inputs'!B49</f>
        <v>0</v>
      </c>
      <c r="C52" s="8">
        <f>('Model inputs'!O97+'Model inputs'!C100)*IFERROR('Model inputs'!C40/SUM('Model inputs'!C40,'Model inputs'!C41),0)</f>
        <v>12.668436439396485</v>
      </c>
      <c r="D52" s="8">
        <f>('Model inputs'!O97+'Model inputs'!D100)*IFERROR('Model inputs'!D40/SUM('Model inputs'!D40,'Model inputs'!D41),0)</f>
        <v>12.642422653636842</v>
      </c>
      <c r="E52" s="8">
        <f>('Model inputs'!O97+'Model inputs'!E100)*IFERROR('Model inputs'!E40/SUM('Model inputs'!E40,'Model inputs'!E41),0)</f>
        <v>12.640803991356586</v>
      </c>
      <c r="F52" s="8">
        <f>('Model inputs'!O97+'Model inputs'!F100)*IFERROR('Model inputs'!F40/SUM('Model inputs'!F40,'Model inputs'!F41),0)</f>
        <v>12.656874440695642</v>
      </c>
      <c r="G52" s="8">
        <f>('Model inputs'!O97+'Model inputs'!G100)*IFERROR('Model inputs'!G40/SUM('Model inputs'!G40,'Model inputs'!G41),0)</f>
        <v>12.68573855717079</v>
      </c>
      <c r="H52" s="8">
        <f>('Model inputs'!O97+'Model inputs'!H100)*IFERROR('Model inputs'!H40/SUM('Model inputs'!H40,'Model inputs'!H41),0)</f>
        <v>12.723761953300878</v>
      </c>
      <c r="I52" s="8">
        <f>('Model inputs'!O97+'Model inputs'!I100)*IFERROR('Model inputs'!I40/SUM('Model inputs'!I40,'Model inputs'!I41),0)</f>
        <v>12.768211286616479</v>
      </c>
      <c r="J52" s="8">
        <f>('Model inputs'!O97+'Model inputs'!J100)*IFERROR('Model inputs'!J40/SUM('Model inputs'!J40,'Model inputs'!J41),0)</f>
        <v>12.817011143806953</v>
      </c>
      <c r="K52" s="8">
        <f>('Model inputs'!O97+'Model inputs'!K100)*IFERROR('Model inputs'!K40/SUM('Model inputs'!K40,'Model inputs'!K41),0)</f>
        <v>12.86857543229506</v>
      </c>
      <c r="L52" s="8">
        <f>('Model inputs'!O97+'Model inputs'!L100)*IFERROR('Model inputs'!L40/SUM('Model inputs'!L40,'Model inputs'!L41),0)</f>
        <v>12.921687657947468</v>
      </c>
      <c r="M52" s="8">
        <f>('Model inputs'!O97+'Model inputs'!M100)*IFERROR('Model inputs'!M40/SUM('Model inputs'!M40,'Model inputs'!M41),0)</f>
        <v>12.975414122027587</v>
      </c>
      <c r="N52" s="8">
        <f>('Model inputs'!O97+'Model inputs'!N100)*IFERROR('Model inputs'!N40/SUM('Model inputs'!N40,'Model inputs'!N41),0)</f>
        <v>13.029039812071538</v>
      </c>
    </row>
    <row r="53" outlineLevel="1">
      <c r="A53" t="inlineStr" s="13">
        <is>
          <t xml:space="preserve">Hosting and neatlogs allocated by revenue (USD) &gt; Household</t>
        </is>
      </c>
      <c r="B53" s="8">
        <f>'Model inputs'!B50</f>
        <v>0</v>
      </c>
      <c r="C53" s="8">
        <f>('Model inputs'!O97+'Model inputs'!C100)*IFERROR('Model inputs'!C41/SUM('Model inputs'!C40,'Model inputs'!C41),0)</f>
        <v>12.331563560603513</v>
      </c>
      <c r="D53" s="8">
        <f>('Model inputs'!O97+'Model inputs'!D100)*IFERROR('Model inputs'!D41/SUM('Model inputs'!D40,'Model inputs'!D41),0)</f>
        <v>12.357577346363154</v>
      </c>
      <c r="E53" s="8">
        <f>('Model inputs'!O97+'Model inputs'!E100)*IFERROR('Model inputs'!E41/SUM('Model inputs'!E40,'Model inputs'!E41),0)</f>
        <v>12.359196008643414</v>
      </c>
      <c r="F53" s="8">
        <f>('Model inputs'!O97+'Model inputs'!F100)*IFERROR('Model inputs'!F41/SUM('Model inputs'!F40,'Model inputs'!F41),0)</f>
        <v>12.343125559304356</v>
      </c>
      <c r="G53" s="8">
        <f>('Model inputs'!O97+'Model inputs'!G100)*IFERROR('Model inputs'!G41/SUM('Model inputs'!G40,'Model inputs'!G41),0)</f>
        <v>12.314261442829213</v>
      </c>
      <c r="H53" s="8">
        <f>('Model inputs'!O97+'Model inputs'!H100)*IFERROR('Model inputs'!H41/SUM('Model inputs'!H40,'Model inputs'!H41),0)</f>
        <v>12.276238046699122</v>
      </c>
      <c r="I53" s="8">
        <f>('Model inputs'!O97+'Model inputs'!I100)*IFERROR('Model inputs'!I41/SUM('Model inputs'!I40,'Model inputs'!I41),0)</f>
        <v>12.231788713383521</v>
      </c>
      <c r="J53" s="8">
        <f>('Model inputs'!O97+'Model inputs'!J100)*IFERROR('Model inputs'!J41/SUM('Model inputs'!J40,'Model inputs'!J41),0)</f>
        <v>12.182988856193045</v>
      </c>
      <c r="K53" s="8">
        <f>('Model inputs'!O97+'Model inputs'!K100)*IFERROR('Model inputs'!K41/SUM('Model inputs'!K40,'Model inputs'!K41),0)</f>
        <v>12.131424567704942</v>
      </c>
      <c r="L53" s="8">
        <f>('Model inputs'!O97+'Model inputs'!L100)*IFERROR('Model inputs'!L41/SUM('Model inputs'!L40,'Model inputs'!L41),0)</f>
        <v>12.078312342052534</v>
      </c>
      <c r="M53" s="8">
        <f>('Model inputs'!O97+'Model inputs'!M100)*IFERROR('Model inputs'!M41/SUM('Model inputs'!M40,'Model inputs'!M41),0)</f>
        <v>12.024585877972413</v>
      </c>
      <c r="N53" s="8">
        <f>('Model inputs'!O97+'Model inputs'!N100)*IFERROR('Model inputs'!N41/SUM('Model inputs'!N40,'Model inputs'!N41),0)</f>
        <v>11.97096018792846</v>
      </c>
    </row>
    <row r="54">
      <c r="A54" t="inlineStr" s="12">
        <is>
          <t xml:space="preserve">Hosting and neatlogs allocated by revenue (USD)</t>
        </is>
      </c>
      <c r="B54" s="6">
        <f>SUM('Model inputs'!B55,'Model inputs'!B56)</f>
        <v>0</v>
      </c>
      <c r="C54" s="6">
        <f>SUM('Model inputs'!C55,'Model inputs'!C56)</f>
        <v>25</v>
      </c>
      <c r="D54" s="6">
        <f>SUM('Model inputs'!D55,'Model inputs'!D56)</f>
        <v>25</v>
      </c>
      <c r="E54" s="6">
        <f>SUM('Model inputs'!E55,'Model inputs'!E56)</f>
        <v>25</v>
      </c>
      <c r="F54" s="6">
        <f>SUM('Model inputs'!F55,'Model inputs'!F56)</f>
        <v>25</v>
      </c>
      <c r="G54" s="6">
        <f>SUM('Model inputs'!G55,'Model inputs'!G56)</f>
        <v>25</v>
      </c>
      <c r="H54" s="6">
        <f>SUM('Model inputs'!H55,'Model inputs'!H56)</f>
        <v>25</v>
      </c>
      <c r="I54" s="6">
        <f>SUM('Model inputs'!I55,'Model inputs'!I56)</f>
        <v>25</v>
      </c>
      <c r="J54" s="6">
        <f>SUM('Model inputs'!J55,'Model inputs'!J56)</f>
        <v>25</v>
      </c>
      <c r="K54" s="6">
        <f>SUM('Model inputs'!K55,'Model inputs'!K56)</f>
        <v>24.999999999999996</v>
      </c>
      <c r="L54" s="6">
        <f>SUM('Model inputs'!L55,'Model inputs'!L56)</f>
        <v>25</v>
      </c>
      <c r="M54" s="6">
        <f>SUM('Model inputs'!M55,'Model inputs'!M56)</f>
        <v>25</v>
      </c>
      <c r="N54" s="6">
        <f>SUM('Model inputs'!N55,'Model inputs'!N56)</f>
        <v>25.000000000000004</v>
      </c>
    </row>
    <row r="55" outlineLevel="1">
      <c r="A55" t="inlineStr" s="13">
        <is>
          <t xml:space="preserve">Hosting and neatlogs allocated by revenue (USD) &gt; Classroom</t>
        </is>
      </c>
      <c r="B55" s="8">
        <f>'Model inputs'!B49</f>
        <v>0</v>
      </c>
      <c r="C55" s="8">
        <f>('Model inputs'!O98+'Model inputs'!C101)*IFERROR('Model inputs'!C43/SUM('Model inputs'!C43,'Model inputs'!C44),0)</f>
        <v>12.486912982863466</v>
      </c>
      <c r="D55" s="8">
        <f>('Model inputs'!O98+'Model inputs'!D101)*IFERROR('Model inputs'!D43/SUM('Model inputs'!D43,'Model inputs'!D44),0)</f>
        <v>12.400416713355956</v>
      </c>
      <c r="E55" s="8">
        <f>('Model inputs'!O98+'Model inputs'!E101)*IFERROR('Model inputs'!E43/SUM('Model inputs'!E43,'Model inputs'!E44),0)</f>
        <v>12.390053475705804</v>
      </c>
      <c r="F55" s="8">
        <f>('Model inputs'!O98+'Model inputs'!F101)*IFERROR('Model inputs'!F43/SUM('Model inputs'!F43,'Model inputs'!F44),0)</f>
        <v>12.422014383367456</v>
      </c>
      <c r="G55" s="8">
        <f>('Model inputs'!O98+'Model inputs'!G101)*IFERROR('Model inputs'!G43/SUM('Model inputs'!G43,'Model inputs'!G44),0)</f>
        <v>12.4793587800491</v>
      </c>
      <c r="H55" s="8">
        <f>('Model inputs'!O98+'Model inputs'!H101)*IFERROR('Model inputs'!H43/SUM('Model inputs'!H43,'Model inputs'!H44),0)</f>
        <v>12.552656998132742</v>
      </c>
      <c r="I55" s="8">
        <f>('Model inputs'!O98+'Model inputs'!I101)*IFERROR('Model inputs'!I43/SUM('Model inputs'!I43,'Model inputs'!I44),0)</f>
        <v>12.636241857298703</v>
      </c>
      <c r="J55" s="8">
        <f>('Model inputs'!O98+'Model inputs'!J101)*IFERROR('Model inputs'!J43/SUM('Model inputs'!J43,'Model inputs'!J44),0)</f>
        <v>12.726502836617094</v>
      </c>
      <c r="K55" s="8">
        <f>('Model inputs'!O98+'Model inputs'!K101)*IFERROR('Model inputs'!K43/SUM('Model inputs'!K43,'Model inputs'!K44),0)</f>
        <v>12.821032314286562</v>
      </c>
      <c r="L55" s="8">
        <f>('Model inputs'!O98+'Model inputs'!L101)*IFERROR('Model inputs'!L43/SUM('Model inputs'!L43,'Model inputs'!L44),0)</f>
        <v>12.918165405720345</v>
      </c>
      <c r="M55" s="8">
        <f>('Model inputs'!O98+'Model inputs'!M101)*IFERROR('Model inputs'!M43/SUM('Model inputs'!M43,'Model inputs'!M44),0)</f>
        <v>13.016716733607428</v>
      </c>
      <c r="N55" s="8">
        <f>('Model inputs'!O98+'Model inputs'!N101)*IFERROR('Model inputs'!N43/SUM('Model inputs'!N43,'Model inputs'!N44),0)</f>
        <v>13.115822286090948</v>
      </c>
    </row>
    <row r="56" outlineLevel="1">
      <c r="A56" t="inlineStr" s="13">
        <is>
          <t xml:space="preserve">Hosting and neatlogs allocated by revenue (USD) &gt; Household</t>
        </is>
      </c>
      <c r="B56" s="8">
        <f>'Model inputs'!B50</f>
        <v>0</v>
      </c>
      <c r="C56" s="8">
        <f>('Model inputs'!O98+'Model inputs'!C101)*IFERROR('Model inputs'!C44/SUM('Model inputs'!C43,'Model inputs'!C44),0)</f>
        <v>12.513087017136534</v>
      </c>
      <c r="D56" s="8">
        <f>('Model inputs'!O98+'Model inputs'!D101)*IFERROR('Model inputs'!D44/SUM('Model inputs'!D43,'Model inputs'!D44),0)</f>
        <v>12.599583286644043</v>
      </c>
      <c r="E56" s="8">
        <f>('Model inputs'!O98+'Model inputs'!E101)*IFERROR('Model inputs'!E44/SUM('Model inputs'!E43,'Model inputs'!E44),0)</f>
        <v>12.609946524294196</v>
      </c>
      <c r="F56" s="8">
        <f>('Model inputs'!O98+'Model inputs'!F101)*IFERROR('Model inputs'!F44/SUM('Model inputs'!F43,'Model inputs'!F44),0)</f>
        <v>12.577985616632544</v>
      </c>
      <c r="G56" s="8">
        <f>('Model inputs'!O98+'Model inputs'!G101)*IFERROR('Model inputs'!G44/SUM('Model inputs'!G43,'Model inputs'!G44),0)</f>
        <v>12.520641219950901</v>
      </c>
      <c r="H56" s="8">
        <f>('Model inputs'!O98+'Model inputs'!H101)*IFERROR('Model inputs'!H44/SUM('Model inputs'!H43,'Model inputs'!H44),0)</f>
        <v>12.447343001867258</v>
      </c>
      <c r="I56" s="8">
        <f>('Model inputs'!O98+'Model inputs'!I101)*IFERROR('Model inputs'!I44/SUM('Model inputs'!I43,'Model inputs'!I44),0)</f>
        <v>12.363758142701297</v>
      </c>
      <c r="J56" s="8">
        <f>('Model inputs'!O98+'Model inputs'!J101)*IFERROR('Model inputs'!J44/SUM('Model inputs'!J43,'Model inputs'!J44),0)</f>
        <v>12.273497163382906</v>
      </c>
      <c r="K56" s="8">
        <f>('Model inputs'!O98+'Model inputs'!K101)*IFERROR('Model inputs'!K44/SUM('Model inputs'!K43,'Model inputs'!K44),0)</f>
        <v>12.178967685713435</v>
      </c>
      <c r="L56" s="8">
        <f>('Model inputs'!O98+'Model inputs'!L101)*IFERROR('Model inputs'!L44/SUM('Model inputs'!L43,'Model inputs'!L44),0)</f>
        <v>12.081834594279657</v>
      </c>
      <c r="M56" s="8">
        <f>('Model inputs'!O98+'Model inputs'!M101)*IFERROR('Model inputs'!M44/SUM('Model inputs'!M43,'Model inputs'!M44),0)</f>
        <v>11.983283266392574</v>
      </c>
      <c r="N56" s="8">
        <f>('Model inputs'!O98+'Model inputs'!N101)*IFERROR('Model inputs'!N44/SUM('Model inputs'!N43,'Model inputs'!N44),0)</f>
        <v>11.884177713909056</v>
      </c>
    </row>
    <row r="57">
      <c r="A57" t="inlineStr" s="12">
        <is>
          <t xml:space="preserve">Inference cost (USD, estimate)</t>
        </is>
      </c>
      <c r="B57" s="6">
        <f>SUM('Model inputs'!B58,'Model inputs'!B59)</f>
        <v>0</v>
      </c>
      <c r="C57" s="6">
        <f>SUM('Model inputs'!C58,'Model inputs'!C59)</f>
        <v>188.95730399999997</v>
      </c>
      <c r="D57" s="6">
        <f>SUM('Model inputs'!D58,'Model inputs'!D59)</f>
        <v>203.16694967999996</v>
      </c>
      <c r="E57" s="6">
        <f>SUM('Model inputs'!E58,'Model inputs'!E59)</f>
        <v>216.63887200559998</v>
      </c>
      <c r="F57" s="6">
        <f>SUM('Model inputs'!F58,'Model inputs'!F59)</f>
        <v>229.42011739615197</v>
      </c>
      <c r="G57" s="6">
        <f>SUM('Model inputs'!G58,'Model inputs'!G59)</f>
        <v>241.55432770092978</v>
      </c>
      <c r="H57" s="6">
        <f>SUM('Model inputs'!H58,'Model inputs'!H59)</f>
        <v>253.08200179043132</v>
      </c>
      <c r="I57" s="6">
        <f>SUM('Model inputs'!I58,'Model inputs'!I59)</f>
        <v>264.0407365436054</v>
      </c>
      <c r="J57" s="6">
        <f>SUM('Model inputs'!J58,'Model inputs'!J59)</f>
        <v>274.46544886963335</v>
      </c>
      <c r="K57" s="6">
        <f>SUM('Model inputs'!K58,'Model inputs'!K59)</f>
        <v>284.3885802720936</v>
      </c>
      <c r="L57" s="6">
        <f>SUM('Model inputs'!L58,'Model inputs'!L59)</f>
        <v>293.84028534299597</v>
      </c>
      <c r="M57" s="6">
        <f>SUM('Model inputs'!M58,'Model inputs'!M59)</f>
        <v>302.8486054634462</v>
      </c>
      <c r="N57" s="6">
        <f>SUM('Model inputs'!N58,'Model inputs'!N59)</f>
        <v>311.4396288858236</v>
      </c>
    </row>
    <row r="58" outlineLevel="1">
      <c r="A58" t="inlineStr" s="13">
        <is>
          <t xml:space="preserve">Inference cost (USD, estimate) &gt; Classroom</t>
        </is>
      </c>
      <c r="B58" s="8">
        <f>0</f>
        <v>0</v>
      </c>
      <c r="C58" s="8">
        <f>'Model inputs'!C121*'Model inputs'!O84</f>
        <v>125.7678</v>
      </c>
      <c r="D58" s="8">
        <f>'Model inputs'!D121*'Model inputs'!O84</f>
        <v>133.748766</v>
      </c>
      <c r="E58" s="8">
        <f>'Model inputs'!E121*'Model inputs'!O84</f>
        <v>141.49030302</v>
      </c>
      <c r="F58" s="8">
        <f>'Model inputs'!F121*'Model inputs'!O84</f>
        <v>148.9995939294</v>
      </c>
      <c r="G58" s="8">
        <f>'Model inputs'!G121*'Model inputs'!O84</f>
        <v>156.28360611151797</v>
      </c>
      <c r="H58" s="8">
        <f>'Model inputs'!H121*'Model inputs'!O84</f>
        <v>163.34909792817245</v>
      </c>
      <c r="I58" s="8">
        <f>'Model inputs'!I121*'Model inputs'!O84</f>
        <v>170.20262499032728</v>
      </c>
      <c r="J58" s="8">
        <f>'Model inputs'!J121*'Model inputs'!O84</f>
        <v>176.85054624061746</v>
      </c>
      <c r="K58" s="8">
        <f>'Model inputs'!K121*'Model inputs'!O84</f>
        <v>183.29902985339893</v>
      </c>
      <c r="L58" s="8">
        <f>'Model inputs'!L121*'Model inputs'!O84</f>
        <v>189.55405895779694</v>
      </c>
      <c r="M58" s="8">
        <f>'Model inputs'!M121*'Model inputs'!O84</f>
        <v>195.62143718906304</v>
      </c>
      <c r="N58" s="8">
        <f>'Model inputs'!N121*'Model inputs'!O84</f>
        <v>201.50679407339115</v>
      </c>
    </row>
    <row r="59" outlineLevel="1">
      <c r="A59" t="inlineStr" s="13">
        <is>
          <t xml:space="preserve">Inference cost (USD, estimate) &gt; Household</t>
        </is>
      </c>
      <c r="B59" s="8">
        <f>0</f>
        <v>0</v>
      </c>
      <c r="C59" s="8">
        <f>'Model inputs'!C122*'Model inputs'!O84</f>
        <v>63.189503999999985</v>
      </c>
      <c r="D59" s="8">
        <f>'Model inputs'!D122*'Model inputs'!O84</f>
        <v>69.41818367999998</v>
      </c>
      <c r="E59" s="8">
        <f>'Model inputs'!E122*'Model inputs'!O84</f>
        <v>75.14856898559998</v>
      </c>
      <c r="F59" s="8">
        <f>'Model inputs'!F122*'Model inputs'!O84</f>
        <v>80.42052346675199</v>
      </c>
      <c r="G59" s="8">
        <f>'Model inputs'!G122*'Model inputs'!O84</f>
        <v>85.27072158941182</v>
      </c>
      <c r="H59" s="8">
        <f>'Model inputs'!H122*'Model inputs'!O84</f>
        <v>89.73290386225887</v>
      </c>
      <c r="I59" s="8">
        <f>'Model inputs'!I122*'Model inputs'!O84</f>
        <v>93.83811155327815</v>
      </c>
      <c r="J59" s="8">
        <f>'Model inputs'!J122*'Model inputs'!O84</f>
        <v>97.61490262901589</v>
      </c>
      <c r="K59" s="8">
        <f>'Model inputs'!K122*'Model inputs'!O84</f>
        <v>101.08955041869461</v>
      </c>
      <c r="L59" s="8">
        <f>'Model inputs'!L122*'Model inputs'!O84</f>
        <v>104.28622638519904</v>
      </c>
      <c r="M59" s="8">
        <f>'Model inputs'!M122*'Model inputs'!O84</f>
        <v>107.22716827438313</v>
      </c>
      <c r="N59" s="8">
        <f>'Model inputs'!N122*'Model inputs'!O84</f>
        <v>109.93283481243246</v>
      </c>
    </row>
    <row r="60">
      <c r="A60" t="inlineStr" s="12">
        <is>
          <t xml:space="preserve">Inference cost (USD, estimate)</t>
        </is>
      </c>
      <c r="B60" s="6">
        <f>SUM('Model inputs'!B61,'Model inputs'!B62)</f>
        <v>0</v>
      </c>
      <c r="C60" s="6">
        <f>SUM('Model inputs'!C61,'Model inputs'!C62)</f>
        <v>329.70576</v>
      </c>
      <c r="D60" s="6">
        <f>SUM('Model inputs'!D61,'Model inputs'!D62)</f>
        <v>342.09108</v>
      </c>
      <c r="E60" s="6">
        <f>SUM('Model inputs'!E61,'Model inputs'!E62)</f>
        <v>353.34122136</v>
      </c>
      <c r="F60" s="6">
        <f>SUM('Model inputs'!F61,'Model inputs'!F62)</f>
        <v>363.5831037144</v>
      </c>
      <c r="G60" s="6">
        <f>SUM('Model inputs'!G61,'Model inputs'!G62)</f>
        <v>372.92721018213604</v>
      </c>
      <c r="H60" s="6">
        <f>SUM('Model inputs'!H61,'Model inputs'!H62)</f>
        <v>381.4698967582178</v>
      </c>
      <c r="I60" s="6">
        <f>SUM('Model inputs'!I61,'Model inputs'!I62)</f>
        <v>389.29536466168327</v>
      </c>
      <c r="J60" s="6">
        <f>SUM('Model inputs'!J61,'Model inputs'!J62)</f>
        <v>396.477345634597</v>
      </c>
      <c r="K60" s="6">
        <f>SUM('Model inputs'!K61,'Model inputs'!K62)</f>
        <v>403.08054272124366</v>
      </c>
      <c r="L60" s="6">
        <f>SUM('Model inputs'!L61,'Model inputs'!L62)</f>
        <v>409.16186270898316</v>
      </c>
      <c r="M60" s="6">
        <f>SUM('Model inputs'!M61,'Model inputs'!M62)</f>
        <v>414.7714710148062</v>
      </c>
      <c r="N60" s="6">
        <f>SUM('Model inputs'!N61,'Model inputs'!N62)</f>
        <v>419.95369521202554</v>
      </c>
    </row>
    <row r="61" outlineLevel="1">
      <c r="A61" t="inlineStr" s="13">
        <is>
          <t xml:space="preserve">Inference cost (USD, estimate) &gt; Classroom</t>
        </is>
      </c>
      <c r="B61" s="8">
        <f>'Model inputs'!B58</f>
        <v>0</v>
      </c>
      <c r="C61" s="8">
        <f>'Model inputs'!C124*'Model inputs'!O85</f>
        <v>222.0816</v>
      </c>
      <c r="D61" s="8">
        <f>'Model inputs'!D124*'Model inputs'!O85</f>
        <v>230.11070399999997</v>
      </c>
      <c r="E61" s="8">
        <f>'Model inputs'!E124*'Model inputs'!O85</f>
        <v>237.65806176000004</v>
      </c>
      <c r="F61" s="8">
        <f>'Model inputs'!F124*'Model inputs'!O85</f>
        <v>244.7525780544</v>
      </c>
      <c r="G61" s="8">
        <f>'Model inputs'!G124*'Model inputs'!O85</f>
        <v>251.42142337113603</v>
      </c>
      <c r="H61" s="8">
        <f>'Model inputs'!H124*'Model inputs'!O85</f>
        <v>257.6901379688678</v>
      </c>
      <c r="I61" s="8">
        <f>'Model inputs'!I124*'Model inputs'!O85</f>
        <v>263.58272969073573</v>
      </c>
      <c r="J61" s="8">
        <f>'Model inputs'!J124*'Model inputs'!O85</f>
        <v>269.1217659092916</v>
      </c>
      <c r="K61" s="8">
        <f>'Model inputs'!K124*'Model inputs'!O85</f>
        <v>274.3284599547341</v>
      </c>
      <c r="L61" s="8">
        <f>'Model inputs'!L124*'Model inputs'!O85</f>
        <v>279.22275235745</v>
      </c>
      <c r="M61" s="8">
        <f>'Model inputs'!M124*'Model inputs'!O85</f>
        <v>283.823387216003</v>
      </c>
      <c r="N61" s="8">
        <f>'Model inputs'!N124*'Model inputs'!O85</f>
        <v>288.1479839830429</v>
      </c>
    </row>
    <row r="62" outlineLevel="1">
      <c r="A62" t="inlineStr" s="13">
        <is>
          <t xml:space="preserve">Inference cost (USD, estimate) &gt; Household</t>
        </is>
      </c>
      <c r="B62" s="8">
        <f>'Model inputs'!B59</f>
        <v>0</v>
      </c>
      <c r="C62" s="8">
        <f>'Model inputs'!C125*'Model inputs'!O85</f>
        <v>107.62415999999999</v>
      </c>
      <c r="D62" s="8">
        <f>'Model inputs'!D125*'Model inputs'!O85</f>
        <v>111.98037599999999</v>
      </c>
      <c r="E62" s="8">
        <f>'Model inputs'!E125*'Model inputs'!O85</f>
        <v>115.6831596</v>
      </c>
      <c r="F62" s="8">
        <f>'Model inputs'!F125*'Model inputs'!O85</f>
        <v>118.83052566</v>
      </c>
      <c r="G62" s="8">
        <f>'Model inputs'!G125*'Model inputs'!O85</f>
        <v>121.505786811</v>
      </c>
      <c r="H62" s="8">
        <f>'Model inputs'!H125*'Model inputs'!O85</f>
        <v>123.77975878935001</v>
      </c>
      <c r="I62" s="8">
        <f>'Model inputs'!I125*'Model inputs'!O85</f>
        <v>125.7126349709475</v>
      </c>
      <c r="J62" s="8">
        <f>'Model inputs'!J125*'Model inputs'!O85</f>
        <v>127.35557972530538</v>
      </c>
      <c r="K62" s="8">
        <f>'Model inputs'!K125*'Model inputs'!O85</f>
        <v>128.75208276650957</v>
      </c>
      <c r="L62" s="8">
        <f>'Model inputs'!L125*'Model inputs'!O85</f>
        <v>129.93911035153315</v>
      </c>
      <c r="M62" s="8">
        <f>'Model inputs'!M125*'Model inputs'!O85</f>
        <v>130.94808379880317</v>
      </c>
      <c r="N62" s="8">
        <f>'Model inputs'!N125*'Model inputs'!O85</f>
        <v>131.8057112289827</v>
      </c>
    </row>
    <row r="63">
      <c r="A63" t="inlineStr" s="12">
        <is>
          <t xml:space="preserve">Inference cost (USD, estimate)</t>
        </is>
      </c>
      <c r="B63" s="6">
        <f>SUM('Model inputs'!B64,'Model inputs'!B65)</f>
        <v>0</v>
      </c>
      <c r="C63" s="6">
        <f>SUM('Model inputs'!C64,'Model inputs'!C65)</f>
        <v>316.97795399999995</v>
      </c>
      <c r="D63" s="6">
        <f>SUM('Model inputs'!D64,'Model inputs'!D65)</f>
        <v>384.11880018</v>
      </c>
      <c r="E63" s="6">
        <f>SUM('Model inputs'!E64,'Model inputs'!E65)</f>
        <v>448.06889259059994</v>
      </c>
      <c r="F63" s="6">
        <f>SUM('Model inputs'!F64,'Model inputs'!F65)</f>
        <v>509.0180761156019</v>
      </c>
      <c r="G63" s="6">
        <f>SUM('Model inputs'!G64,'Model inputs'!G65)</f>
        <v>567.1429705106362</v>
      </c>
      <c r="H63" s="6">
        <f>SUM('Model inputs'!H64,'Model inputs'!H65)</f>
        <v>622.6079695395395</v>
      </c>
      <c r="I63" s="6">
        <f>SUM('Model inputs'!I64,'Model inputs'!I65)</f>
        <v>675.5661619460377</v>
      </c>
      <c r="J63" s="6">
        <f>SUM('Model inputs'!J64,'Model inputs'!J65)</f>
        <v>726.1601804609262</v>
      </c>
      <c r="K63" s="6">
        <f>SUM('Model inputs'!K64,'Model inputs'!K65)</f>
        <v>774.5229845505065</v>
      </c>
      <c r="L63" s="6">
        <f>SUM('Model inputs'!L64,'Model inputs'!L65)</f>
        <v>820.7785821571267</v>
      </c>
      <c r="M63" s="6">
        <f>SUM('Model inputs'!M64,'Model inputs'!M65)</f>
        <v>865.0426952640976</v>
      </c>
      <c r="N63" s="6">
        <f>SUM('Model inputs'!N64,'Model inputs'!N65)</f>
        <v>907.4233737321244</v>
      </c>
    </row>
    <row r="64" outlineLevel="1">
      <c r="A64" t="inlineStr" s="13">
        <is>
          <t xml:space="preserve">Inference cost (USD, estimate) &gt; Classroom</t>
        </is>
      </c>
      <c r="B64" s="8">
        <f>'Model inputs'!B58</f>
        <v>0</v>
      </c>
      <c r="C64" s="8">
        <f>'Model inputs'!C127*'Model inputs'!O86</f>
        <v>211.47404999999998</v>
      </c>
      <c r="D64" s="8">
        <f>'Model inputs'!D127*'Model inputs'!O86</f>
        <v>255.0843285</v>
      </c>
      <c r="E64" s="8">
        <f>'Model inputs'!E127*'Model inputs'!O86</f>
        <v>297.38629864499995</v>
      </c>
      <c r="F64" s="8">
        <f>'Model inputs'!F127*'Model inputs'!O86</f>
        <v>338.41920968564995</v>
      </c>
      <c r="G64" s="8">
        <f>'Model inputs'!G127*'Model inputs'!O86</f>
        <v>378.22113339508047</v>
      </c>
      <c r="H64" s="8">
        <f>'Model inputs'!H127*'Model inputs'!O86</f>
        <v>416.82899939322806</v>
      </c>
      <c r="I64" s="8">
        <f>'Model inputs'!I127*'Model inputs'!O86</f>
        <v>454.2786294114312</v>
      </c>
      <c r="J64" s="8">
        <f>'Model inputs'!J127*'Model inputs'!O86</f>
        <v>490.6047705290883</v>
      </c>
      <c r="K64" s="8">
        <f>'Model inputs'!K127*'Model inputs'!O86</f>
        <v>525.8411274132156</v>
      </c>
      <c r="L64" s="8">
        <f>'Model inputs'!L127*'Model inputs'!O86</f>
        <v>560.0203935908191</v>
      </c>
      <c r="M64" s="8">
        <f>'Model inputs'!M127*'Model inputs'!O86</f>
        <v>593.1742817830946</v>
      </c>
      <c r="N64" s="8">
        <f>'Model inputs'!N127*'Model inputs'!O86</f>
        <v>625.3335533296017</v>
      </c>
    </row>
    <row r="65" outlineLevel="1">
      <c r="A65" t="inlineStr" s="13">
        <is>
          <t xml:space="preserve">Inference cost (USD, estimate) &gt; Household</t>
        </is>
      </c>
      <c r="B65" s="8">
        <f>'Model inputs'!B59</f>
        <v>0</v>
      </c>
      <c r="C65" s="8">
        <f>'Model inputs'!C128*'Model inputs'!O86</f>
        <v>105.50390399999998</v>
      </c>
      <c r="D65" s="8">
        <f>'Model inputs'!D128*'Model inputs'!O86</f>
        <v>129.03447167999997</v>
      </c>
      <c r="E65" s="8">
        <f>'Model inputs'!E128*'Model inputs'!O86</f>
        <v>150.6825939456</v>
      </c>
      <c r="F65" s="8">
        <f>'Model inputs'!F128*'Model inputs'!O86</f>
        <v>170.59886642995195</v>
      </c>
      <c r="G65" s="8">
        <f>'Model inputs'!G128*'Model inputs'!O86</f>
        <v>188.9218371155558</v>
      </c>
      <c r="H65" s="8">
        <f>'Model inputs'!H128*'Model inputs'!O86</f>
        <v>205.77897014631137</v>
      </c>
      <c r="I65" s="8">
        <f>'Model inputs'!I128*'Model inputs'!O86</f>
        <v>221.28753253460644</v>
      </c>
      <c r="J65" s="8">
        <f>'Model inputs'!J128*'Model inputs'!O86</f>
        <v>235.55540993183791</v>
      </c>
      <c r="K65" s="8">
        <f>'Model inputs'!K128*'Model inputs'!O86</f>
        <v>248.68185713729085</v>
      </c>
      <c r="L65" s="8">
        <f>'Model inputs'!L128*'Model inputs'!O86</f>
        <v>260.7581885663075</v>
      </c>
      <c r="M65" s="8">
        <f>'Model inputs'!M128*'Model inputs'!O86</f>
        <v>271.86841348100296</v>
      </c>
      <c r="N65" s="8">
        <f>'Model inputs'!N128*'Model inputs'!O86</f>
        <v>282.0898204025228</v>
      </c>
    </row>
    <row r="66">
      <c r="A66" t="inlineStr" s="12">
        <is>
          <t xml:space="preserve">Overage revenue (USD)</t>
        </is>
      </c>
      <c r="B66" s="6">
        <f>SUM('Model inputs'!B67,'Model inputs'!B68)</f>
        <v>0</v>
      </c>
      <c r="C66" s="6">
        <f>SUM('Model inputs'!C67,'Model inputs'!C68)</f>
        <v>0</v>
      </c>
      <c r="D66" s="6">
        <f>SUM('Model inputs'!D67,'Model inputs'!D68)</f>
        <v>0</v>
      </c>
      <c r="E66" s="6">
        <f>SUM('Model inputs'!E67,'Model inputs'!E68)</f>
        <v>0</v>
      </c>
      <c r="F66" s="6">
        <f>SUM('Model inputs'!F67,'Model inputs'!F68)</f>
        <v>0</v>
      </c>
      <c r="G66" s="6">
        <f>SUM('Model inputs'!G67,'Model inputs'!G68)</f>
        <v>0</v>
      </c>
      <c r="H66" s="6">
        <f>SUM('Model inputs'!H67,'Model inputs'!H68)</f>
        <v>0</v>
      </c>
      <c r="I66" s="6">
        <f>SUM('Model inputs'!I67,'Model inputs'!I68)</f>
        <v>0</v>
      </c>
      <c r="J66" s="6">
        <f>SUM('Model inputs'!J67,'Model inputs'!J68)</f>
        <v>0</v>
      </c>
      <c r="K66" s="6">
        <f>SUM('Model inputs'!K67,'Model inputs'!K68)</f>
        <v>0</v>
      </c>
      <c r="L66" s="6">
        <f>SUM('Model inputs'!L67,'Model inputs'!L68)</f>
        <v>0</v>
      </c>
      <c r="M66" s="6">
        <f>SUM('Model inputs'!M67,'Model inputs'!M68)</f>
        <v>0</v>
      </c>
      <c r="N66" s="6">
        <f>SUM('Model inputs'!N67,'Model inputs'!N68)</f>
        <v>0</v>
      </c>
    </row>
    <row r="67" outlineLevel="1">
      <c r="A67" t="inlineStr" s="13">
        <is>
          <t xml:space="preserve">Overage revenue (USD) &gt; Classroom</t>
        </is>
      </c>
      <c r="B67" s="8">
        <f>0</f>
        <v>0</v>
      </c>
      <c r="C67" s="8">
        <f>'Model inputs'!C88*IF(IF(IF(IF(ISERROR('Model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D67" s="8">
        <f>'Model inputs'!D88*IF(IF(IF(IF(ISERROR('Model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E67" s="8">
        <f>'Model inputs'!E88*IF(IF(IF(IF(ISERROR('Model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F67" s="8">
        <f>'Model inputs'!F88*IF(IF(IF(IF(ISERROR('Model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G67" s="8">
        <f>'Model inputs'!G88*IF(IF(IF(IF(ISERROR('Model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H67" s="8">
        <f>'Model inputs'!H88*IF(IF(IF(IF(ISERROR('Model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I67" s="8">
        <f>'Model inputs'!I88*IF(IF(IF(IF(ISERROR('Model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J67" s="8">
        <f>'Model inputs'!J88*IF(IF(IF(IF(ISERROR('Model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K67" s="8">
        <f>'Model inputs'!K88*IF(IF(IF(IF(ISERROR('Model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L67" s="8">
        <f>'Model inputs'!L88*IF(IF(IF(IF(ISERROR('Model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M67" s="8">
        <f>'Model inputs'!M88*IF(IF(IF(IF(ISERROR('Model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  <c r="N67" s="8">
        <f>'Model inputs'!N88*IF(IF(IF(IF(ISERROR('Model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inputs'!O103,0)="",0,IF(IF(IF(ISERROR('Model inputs'!O139&gt;'Model inputs'!O130),'Model inputs'!O139&gt;'Model inputs'!O130,IF(OR('Model inputs'!O139="",'Model inputs'!O130=""),"",'Model inputs'!O139&gt;'Model inputs'!O130))="",FALSE,IF(ISERROR('Model inputs'!O139&gt;'Model inputs'!O130),'Model inputs'!O139&gt;'Model inputs'!O130,IF(OR('Model inputs'!O139="",'Model inputs'!O130=""),"",'Model inputs'!O139&gt;'Model inputs'!O130))),('Model inputs'!O139-'Model inputs'!O130)*'Model inputs'!O103,0))</f>
        <v>0</v>
      </c>
    </row>
    <row r="68" outlineLevel="1">
      <c r="A68" t="inlineStr" s="13">
        <is>
          <t xml:space="preserve">Overage revenue (USD) &gt; Household</t>
        </is>
      </c>
      <c r="B68" s="8">
        <f>0</f>
        <v>0</v>
      </c>
      <c r="C68" s="8">
        <f>'Model inputs'!C89*IF(IF(IF(IF(ISERROR('Model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D68" s="8">
        <f>'Model inputs'!D89*IF(IF(IF(IF(ISERROR('Model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E68" s="8">
        <f>'Model inputs'!E89*IF(IF(IF(IF(ISERROR('Model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F68" s="8">
        <f>'Model inputs'!F89*IF(IF(IF(IF(ISERROR('Model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G68" s="8">
        <f>'Model inputs'!G89*IF(IF(IF(IF(ISERROR('Model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H68" s="8">
        <f>'Model inputs'!H89*IF(IF(IF(IF(ISERROR('Model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I68" s="8">
        <f>'Model inputs'!I89*IF(IF(IF(IF(ISERROR('Model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J68" s="8">
        <f>'Model inputs'!J89*IF(IF(IF(IF(ISERROR('Model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K68" s="8">
        <f>'Model inputs'!K89*IF(IF(IF(IF(ISERROR('Model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L68" s="8">
        <f>'Model inputs'!L89*IF(IF(IF(IF(ISERROR('Model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M68" s="8">
        <f>'Model inputs'!M89*IF(IF(IF(IF(ISERROR('Model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  <c r="N68" s="8">
        <f>'Model inputs'!N89*IF(IF(IF(IF(ISERROR('Model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inputs'!O104,0)="",0,IF(IF(IF(ISERROR('Model inputs'!O140&gt;'Model inputs'!O131),'Model inputs'!O140&gt;'Model inputs'!O131,IF(OR('Model inputs'!O140="",'Model inputs'!O131=""),"",'Model inputs'!O140&gt;'Model inputs'!O131))="",FALSE,IF(ISERROR('Model inputs'!O140&gt;'Model inputs'!O131),'Model inputs'!O140&gt;'Model inputs'!O131,IF(OR('Model inputs'!O140="",'Model inputs'!O131=""),"",'Model inputs'!O140&gt;'Model inputs'!O131))),('Model inputs'!O140-'Model inputs'!O131)*'Model inputs'!O104,0))</f>
        <v>0</v>
      </c>
    </row>
    <row r="69">
      <c r="A69" t="inlineStr" s="12">
        <is>
          <t xml:space="preserve">Overage revenue (USD)</t>
        </is>
      </c>
      <c r="B69" s="6">
        <f>SUM('Model inputs'!B70,'Model inputs'!B71)</f>
        <v>0</v>
      </c>
      <c r="C69" s="6">
        <f>SUM('Model inputs'!C70,'Model inputs'!C71)</f>
        <v>0</v>
      </c>
      <c r="D69" s="6">
        <f>SUM('Model inputs'!D70,'Model inputs'!D71)</f>
        <v>0</v>
      </c>
      <c r="E69" s="6">
        <f>SUM('Model inputs'!E70,'Model inputs'!E71)</f>
        <v>0</v>
      </c>
      <c r="F69" s="6">
        <f>SUM('Model inputs'!F70,'Model inputs'!F71)</f>
        <v>0</v>
      </c>
      <c r="G69" s="6">
        <f>SUM('Model inputs'!G70,'Model inputs'!G71)</f>
        <v>0</v>
      </c>
      <c r="H69" s="6">
        <f>SUM('Model inputs'!H70,'Model inputs'!H71)</f>
        <v>0</v>
      </c>
      <c r="I69" s="6">
        <f>SUM('Model inputs'!I70,'Model inputs'!I71)</f>
        <v>0</v>
      </c>
      <c r="J69" s="6">
        <f>SUM('Model inputs'!J70,'Model inputs'!J71)</f>
        <v>0</v>
      </c>
      <c r="K69" s="6">
        <f>SUM('Model inputs'!K70,'Model inputs'!K71)</f>
        <v>0</v>
      </c>
      <c r="L69" s="6">
        <f>SUM('Model inputs'!L70,'Model inputs'!L71)</f>
        <v>0</v>
      </c>
      <c r="M69" s="6">
        <f>SUM('Model inputs'!M70,'Model inputs'!M71)</f>
        <v>0</v>
      </c>
      <c r="N69" s="6">
        <f>SUM('Model inputs'!N70,'Model inputs'!N71)</f>
        <v>0</v>
      </c>
    </row>
    <row r="70" outlineLevel="1">
      <c r="A70" t="inlineStr" s="13">
        <is>
          <t xml:space="preserve">Overage revenue (USD) &gt; Classroom</t>
        </is>
      </c>
      <c r="B70" s="8">
        <f>'Model inputs'!B67</f>
        <v>0</v>
      </c>
      <c r="C70" s="8">
        <f>'Model inputs'!C91*IF(IF(IF(IF(ISERROR('Model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D70" s="8">
        <f>'Model inputs'!D91*IF(IF(IF(IF(ISERROR('Model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E70" s="8">
        <f>'Model inputs'!E91*IF(IF(IF(IF(ISERROR('Model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F70" s="8">
        <f>'Model inputs'!F91*IF(IF(IF(IF(ISERROR('Model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G70" s="8">
        <f>'Model inputs'!G91*IF(IF(IF(IF(ISERROR('Model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H70" s="8">
        <f>'Model inputs'!H91*IF(IF(IF(IF(ISERROR('Model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I70" s="8">
        <f>'Model inputs'!I91*IF(IF(IF(IF(ISERROR('Model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J70" s="8">
        <f>'Model inputs'!J91*IF(IF(IF(IF(ISERROR('Model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K70" s="8">
        <f>'Model inputs'!K91*IF(IF(IF(IF(ISERROR('Model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L70" s="8">
        <f>'Model inputs'!L91*IF(IF(IF(IF(ISERROR('Model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M70" s="8">
        <f>'Model inputs'!M91*IF(IF(IF(IF(ISERROR('Model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  <c r="N70" s="8">
        <f>'Model inputs'!N91*IF(IF(IF(IF(ISERROR('Model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inputs'!O106,0)="",0,IF(IF(IF(ISERROR('Model inputs'!O142&gt;'Model inputs'!O133),'Model inputs'!O142&gt;'Model inputs'!O133,IF(OR('Model inputs'!O142="",'Model inputs'!O133=""),"",'Model inputs'!O142&gt;'Model inputs'!O133))="",FALSE,IF(ISERROR('Model inputs'!O142&gt;'Model inputs'!O133),'Model inputs'!O142&gt;'Model inputs'!O133,IF(OR('Model inputs'!O142="",'Model inputs'!O133=""),"",'Model inputs'!O142&gt;'Model inputs'!O133))),('Model inputs'!O142-'Model inputs'!O133)*'Model inputs'!O106,0))</f>
        <v>0</v>
      </c>
    </row>
    <row r="71" outlineLevel="1">
      <c r="A71" t="inlineStr" s="13">
        <is>
          <t xml:space="preserve">Overage revenue (USD) &gt; Household</t>
        </is>
      </c>
      <c r="B71" s="8">
        <f>'Model inputs'!B68</f>
        <v>0</v>
      </c>
      <c r="C71" s="8">
        <f>'Model inputs'!C92*IF(IF(IF(IF(ISERROR('Model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D71" s="8">
        <f>'Model inputs'!D92*IF(IF(IF(IF(ISERROR('Model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E71" s="8">
        <f>'Model inputs'!E92*IF(IF(IF(IF(ISERROR('Model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F71" s="8">
        <f>'Model inputs'!F92*IF(IF(IF(IF(ISERROR('Model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G71" s="8">
        <f>'Model inputs'!G92*IF(IF(IF(IF(ISERROR('Model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H71" s="8">
        <f>'Model inputs'!H92*IF(IF(IF(IF(ISERROR('Model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I71" s="8">
        <f>'Model inputs'!I92*IF(IF(IF(IF(ISERROR('Model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J71" s="8">
        <f>'Model inputs'!J92*IF(IF(IF(IF(ISERROR('Model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K71" s="8">
        <f>'Model inputs'!K92*IF(IF(IF(IF(ISERROR('Model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L71" s="8">
        <f>'Model inputs'!L92*IF(IF(IF(IF(ISERROR('Model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M71" s="8">
        <f>'Model inputs'!M92*IF(IF(IF(IF(ISERROR('Model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  <c r="N71" s="8">
        <f>'Model inputs'!N92*IF(IF(IF(IF(ISERROR('Model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inputs'!O107,0)="",0,IF(IF(IF(ISERROR('Model inputs'!O143&gt;'Model inputs'!O134),'Model inputs'!O143&gt;'Model inputs'!O134,IF(OR('Model inputs'!O143="",'Model inputs'!O134=""),"",'Model inputs'!O143&gt;'Model inputs'!O134))="",FALSE,IF(ISERROR('Model inputs'!O143&gt;'Model inputs'!O134),'Model inputs'!O143&gt;'Model inputs'!O134,IF(OR('Model inputs'!O143="",'Model inputs'!O134=""),"",'Model inputs'!O143&gt;'Model inputs'!O134))),('Model inputs'!O143-'Model inputs'!O134)*'Model inputs'!O107,0))</f>
        <v>0</v>
      </c>
    </row>
    <row r="72">
      <c r="A72" t="inlineStr" s="12">
        <is>
          <t xml:space="preserve">Overage revenue (USD)</t>
        </is>
      </c>
      <c r="B72" s="6">
        <f>SUM('Model inputs'!B73,'Model inputs'!B74)</f>
        <v>0</v>
      </c>
      <c r="C72" s="6">
        <f>SUM('Model inputs'!C73,'Model inputs'!C74)</f>
        <v>0</v>
      </c>
      <c r="D72" s="6">
        <f>SUM('Model inputs'!D73,'Model inputs'!D74)</f>
        <v>0</v>
      </c>
      <c r="E72" s="6">
        <f>SUM('Model inputs'!E73,'Model inputs'!E74)</f>
        <v>0</v>
      </c>
      <c r="F72" s="6">
        <f>SUM('Model inputs'!F73,'Model inputs'!F74)</f>
        <v>0</v>
      </c>
      <c r="G72" s="6">
        <f>SUM('Model inputs'!G73,'Model inputs'!G74)</f>
        <v>0</v>
      </c>
      <c r="H72" s="6">
        <f>SUM('Model inputs'!H73,'Model inputs'!H74)</f>
        <v>0</v>
      </c>
      <c r="I72" s="6">
        <f>SUM('Model inputs'!I73,'Model inputs'!I74)</f>
        <v>0</v>
      </c>
      <c r="J72" s="6">
        <f>SUM('Model inputs'!J73,'Model inputs'!J74)</f>
        <v>0</v>
      </c>
      <c r="K72" s="6">
        <f>SUM('Model inputs'!K73,'Model inputs'!K74)</f>
        <v>0</v>
      </c>
      <c r="L72" s="6">
        <f>SUM('Model inputs'!L73,'Model inputs'!L74)</f>
        <v>0</v>
      </c>
      <c r="M72" s="6">
        <f>SUM('Model inputs'!M73,'Model inputs'!M74)</f>
        <v>0</v>
      </c>
      <c r="N72" s="6">
        <f>SUM('Model inputs'!N73,'Model inputs'!N74)</f>
        <v>0</v>
      </c>
    </row>
    <row r="73" outlineLevel="1">
      <c r="A73" t="inlineStr" s="13">
        <is>
          <t xml:space="preserve">Overage revenue (USD) &gt; Classroom</t>
        </is>
      </c>
      <c r="B73" s="8">
        <f>'Model inputs'!B67</f>
        <v>0</v>
      </c>
      <c r="C73" s="8">
        <f>'Model inputs'!C94*IF(IF(IF(IF(ISERROR('Model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D73" s="8">
        <f>'Model inputs'!D94*IF(IF(IF(IF(ISERROR('Model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E73" s="8">
        <f>'Model inputs'!E94*IF(IF(IF(IF(ISERROR('Model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F73" s="8">
        <f>'Model inputs'!F94*IF(IF(IF(IF(ISERROR('Model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G73" s="8">
        <f>'Model inputs'!G94*IF(IF(IF(IF(ISERROR('Model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H73" s="8">
        <f>'Model inputs'!H94*IF(IF(IF(IF(ISERROR('Model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I73" s="8">
        <f>'Model inputs'!I94*IF(IF(IF(IF(ISERROR('Model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J73" s="8">
        <f>'Model inputs'!J94*IF(IF(IF(IF(ISERROR('Model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K73" s="8">
        <f>'Model inputs'!K94*IF(IF(IF(IF(ISERROR('Model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L73" s="8">
        <f>'Model inputs'!L94*IF(IF(IF(IF(ISERROR('Model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M73" s="8">
        <f>'Model inputs'!M94*IF(IF(IF(IF(ISERROR('Model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  <c r="N73" s="8">
        <f>'Model inputs'!N94*IF(IF(IF(IF(ISERROR('Model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inputs'!O109,0)="",0,IF(IF(IF(ISERROR('Model inputs'!O145&gt;'Model inputs'!O136),'Model inputs'!O145&gt;'Model inputs'!O136,IF(OR('Model inputs'!O145="",'Model inputs'!O136=""),"",'Model inputs'!O145&gt;'Model inputs'!O136))="",FALSE,IF(ISERROR('Model inputs'!O145&gt;'Model inputs'!O136),'Model inputs'!O145&gt;'Model inputs'!O136,IF(OR('Model inputs'!O145="",'Model inputs'!O136=""),"",'Model inputs'!O145&gt;'Model inputs'!O136))),('Model inputs'!O145-'Model inputs'!O136)*'Model inputs'!O109,0))</f>
        <v>0</v>
      </c>
    </row>
    <row r="74" outlineLevel="1">
      <c r="A74" t="inlineStr" s="13">
        <is>
          <t xml:space="preserve">Overage revenue (USD) &gt; Household</t>
        </is>
      </c>
      <c r="B74" s="8">
        <f>'Model inputs'!B68</f>
        <v>0</v>
      </c>
      <c r="C74" s="8">
        <f>'Model inputs'!C95*IF(IF(IF(IF(ISERROR('Model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D74" s="8">
        <f>'Model inputs'!D95*IF(IF(IF(IF(ISERROR('Model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E74" s="8">
        <f>'Model inputs'!E95*IF(IF(IF(IF(ISERROR('Model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F74" s="8">
        <f>'Model inputs'!F95*IF(IF(IF(IF(ISERROR('Model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G74" s="8">
        <f>'Model inputs'!G95*IF(IF(IF(IF(ISERROR('Model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H74" s="8">
        <f>'Model inputs'!H95*IF(IF(IF(IF(ISERROR('Model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I74" s="8">
        <f>'Model inputs'!I95*IF(IF(IF(IF(ISERROR('Model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J74" s="8">
        <f>'Model inputs'!J95*IF(IF(IF(IF(ISERROR('Model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K74" s="8">
        <f>'Model inputs'!K95*IF(IF(IF(IF(ISERROR('Model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L74" s="8">
        <f>'Model inputs'!L95*IF(IF(IF(IF(ISERROR('Model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M74" s="8">
        <f>'Model inputs'!M95*IF(IF(IF(IF(ISERROR('Model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  <c r="N74" s="8">
        <f>'Model inputs'!N95*IF(IF(IF(IF(ISERROR('Model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inputs'!O110,0)="",0,IF(IF(IF(ISERROR('Model inputs'!O146&gt;'Model inputs'!O137),'Model inputs'!O146&gt;'Model inputs'!O137,IF(OR('Model inputs'!O146="",'Model inputs'!O137=""),"",'Model inputs'!O146&gt;'Model inputs'!O137))="",FALSE,IF(ISERROR('Model inputs'!O146&gt;'Model inputs'!O137),'Model inputs'!O146&gt;'Model inputs'!O137,IF(OR('Model inputs'!O146="",'Model inputs'!O137=""),"",'Model inputs'!O146&gt;'Model inputs'!O137))),('Model inputs'!O146-'Model inputs'!O137)*'Model inputs'!O110,0))</f>
        <v>0</v>
      </c>
    </row>
    <row r="75">
      <c r="A75" t="inlineStr" s="12">
        <is>
          <t xml:space="preserve">Subscription revenue (USD)</t>
        </is>
      </c>
      <c r="B75" s="6">
        <f>SUM('Model inputs'!B76,'Model inputs'!B77)</f>
        <v>0</v>
      </c>
      <c r="C75" s="6">
        <f>SUM('Model inputs'!C76,'Model inputs'!C77)</f>
        <v>623.452</v>
      </c>
      <c r="D75" s="6">
        <f>SUM('Model inputs'!D76,'Model inputs'!D77)</f>
        <v>674.0108399999999</v>
      </c>
      <c r="E75" s="6">
        <f>SUM('Model inputs'!E76,'Model inputs'!E77)</f>
        <v>721.5095228</v>
      </c>
      <c r="F75" s="6">
        <f>SUM('Model inputs'!F76,'Model inputs'!F77)</f>
        <v>766.163324476</v>
      </c>
      <c r="G75" s="6">
        <f>SUM('Model inputs'!G76,'Model inputs'!G77)</f>
        <v>808.17118511292</v>
      </c>
      <c r="H75" s="6">
        <f>SUM('Model inputs'!H76,'Model inputs'!H77)</f>
        <v>847.7169891010365</v>
      </c>
      <c r="I75" s="6">
        <f>SUM('Model inputs'!I76,'Model inputs'!I77)</f>
        <v>884.9707438061889</v>
      </c>
      <c r="J75" s="6">
        <f>SUM('Model inputs'!J76,'Model inputs'!J77)</f>
        <v>920.0896647199322</v>
      </c>
      <c r="K75" s="6">
        <f>SUM('Model inputs'!K76,'Model inputs'!K77)</f>
        <v>953.2191745480288</v>
      </c>
      <c r="L75" s="6">
        <f>SUM('Model inputs'!L76,'Model inputs'!L77)</f>
        <v>984.493823099707</v>
      </c>
      <c r="M75" s="6">
        <f>SUM('Model inputs'!M76,'Model inputs'!M77)</f>
        <v>1014.0381342917855</v>
      </c>
      <c r="N75" s="6">
        <f>SUM('Model inputs'!N76,'Model inputs'!N77)</f>
        <v>1041.967386077296</v>
      </c>
    </row>
    <row r="76" outlineLevel="1">
      <c r="A76" t="inlineStr" s="13">
        <is>
          <t xml:space="preserve">Subscription revenue (USD) &gt; Classroom</t>
        </is>
      </c>
      <c r="B76" s="8">
        <f>0</f>
        <v>0</v>
      </c>
      <c r="C76" s="8">
        <f>'Model inputs'!C88*'Model inputs'!O112</f>
        <v>310.29999999999995</v>
      </c>
      <c r="D76" s="8">
        <f>'Model inputs'!D88*'Model inputs'!O112</f>
        <v>329.991</v>
      </c>
      <c r="E76" s="8">
        <f>'Model inputs'!E88*'Model inputs'!O112</f>
        <v>349.09127</v>
      </c>
      <c r="F76" s="8">
        <f>'Model inputs'!F88*'Model inputs'!O112</f>
        <v>367.6185319</v>
      </c>
      <c r="G76" s="8">
        <f>'Model inputs'!G88*'Model inputs'!O112</f>
        <v>385.589975943</v>
      </c>
      <c r="H76" s="8">
        <f>'Model inputs'!H88*'Model inputs'!O112</f>
        <v>403.02227666471003</v>
      </c>
      <c r="I76" s="8">
        <f>'Model inputs'!I88*'Model inputs'!O112</f>
        <v>419.9316083647687</v>
      </c>
      <c r="J76" s="8">
        <f>'Model inputs'!J88*'Model inputs'!O112</f>
        <v>436.33366011382566</v>
      </c>
      <c r="K76" s="8">
        <f>'Model inputs'!K88*'Model inputs'!O112</f>
        <v>452.2436503104108</v>
      </c>
      <c r="L76" s="8">
        <f>'Model inputs'!L88*'Model inputs'!O112</f>
        <v>467.67634080109855</v>
      </c>
      <c r="M76" s="8">
        <f>'Model inputs'!M88*'Model inputs'!O112</f>
        <v>482.6460505770656</v>
      </c>
      <c r="N76" s="8">
        <f>'Model inputs'!N88*'Model inputs'!O112</f>
        <v>497.16666905975364</v>
      </c>
    </row>
    <row r="77" outlineLevel="1">
      <c r="A77" t="inlineStr" s="13">
        <is>
          <t xml:space="preserve">Subscription revenue (USD) &gt; Household</t>
        </is>
      </c>
      <c r="B77" s="8">
        <f>0</f>
        <v>0</v>
      </c>
      <c r="C77" s="8">
        <f>'Model inputs'!C89*'Model inputs'!O113</f>
        <v>313.152</v>
      </c>
      <c r="D77" s="8">
        <f>'Model inputs'!D89*'Model inputs'!O113</f>
        <v>344.01984</v>
      </c>
      <c r="E77" s="8">
        <f>'Model inputs'!E89*'Model inputs'!O113</f>
        <v>372.41825279999995</v>
      </c>
      <c r="F77" s="8">
        <f>'Model inputs'!F89*'Model inputs'!O113</f>
        <v>398.54479257599996</v>
      </c>
      <c r="G77" s="8">
        <f>'Model inputs'!G89*'Model inputs'!O113</f>
        <v>422.58120916992</v>
      </c>
      <c r="H77" s="8">
        <f>'Model inputs'!H89*'Model inputs'!O113</f>
        <v>444.69471243632637</v>
      </c>
      <c r="I77" s="8">
        <f>'Model inputs'!I89*'Model inputs'!O113</f>
        <v>465.0391354414202</v>
      </c>
      <c r="J77" s="8">
        <f>'Model inputs'!J89*'Model inputs'!O113</f>
        <v>483.75600460610656</v>
      </c>
      <c r="K77" s="8">
        <f>'Model inputs'!K89*'Model inputs'!O113</f>
        <v>500.97552423761806</v>
      </c>
      <c r="L77" s="8">
        <f>'Model inputs'!L89*'Model inputs'!O113</f>
        <v>516.8174822986085</v>
      </c>
      <c r="M77" s="8">
        <f>'Model inputs'!M89*'Model inputs'!O113</f>
        <v>531.3920837147199</v>
      </c>
      <c r="N77" s="8">
        <f>'Model inputs'!N89*'Model inputs'!O113</f>
        <v>544.8007170175423</v>
      </c>
    </row>
    <row r="78">
      <c r="A78" t="inlineStr" s="12">
        <is>
          <t xml:space="preserve">Subscription revenue (USD)</t>
        </is>
      </c>
      <c r="B78" s="6">
        <f>SUM('Model inputs'!B79,'Model inputs'!B80)</f>
        <v>0</v>
      </c>
      <c r="C78" s="6">
        <f>SUM('Model inputs'!C79,'Model inputs'!C80)</f>
        <v>595.1800000000001</v>
      </c>
      <c r="D78" s="6">
        <f>SUM('Model inputs'!D79,'Model inputs'!D80)</f>
        <v>617.9670000000001</v>
      </c>
      <c r="E78" s="6">
        <f>SUM('Model inputs'!E79,'Model inputs'!E80)</f>
        <v>638.31731</v>
      </c>
      <c r="F78" s="6">
        <f>SUM('Model inputs'!F79,'Model inputs'!F80)</f>
        <v>656.5375519000002</v>
      </c>
      <c r="G78" s="6">
        <f>SUM('Model inputs'!G79,'Model inputs'!G80)</f>
        <v>672.891887211</v>
      </c>
      <c r="H78" s="6">
        <f>SUM('Model inputs'!H79,'Model inputs'!H80)</f>
        <v>687.6081741395901</v>
      </c>
      <c r="I78" s="6">
        <f>SUM('Model inputs'!I79,'Model inputs'!I80)</f>
        <v>700.8832138282771</v>
      </c>
      <c r="J78" s="6">
        <f>SUM('Model inputs'!J79,'Model inputs'!J80)</f>
        <v>712.8872216150837</v>
      </c>
      <c r="K78" s="6">
        <f>SUM('Model inputs'!K79,'Model inputs'!K80)</f>
        <v>723.7676388422062</v>
      </c>
      <c r="L78" s="6">
        <f>SUM('Model inputs'!L79,'Model inputs'!L80)</f>
        <v>733.6523834570974</v>
      </c>
      <c r="M78" s="6">
        <f>SUM('Model inputs'!M79,'Model inputs'!M80)</f>
        <v>742.6526229532815</v>
      </c>
      <c r="N78" s="6">
        <f>SUM('Model inputs'!N79,'Model inputs'!N80)</f>
        <v>750.8651407041532</v>
      </c>
    </row>
    <row r="79" outlineLevel="1">
      <c r="A79" t="inlineStr" s="13">
        <is>
          <t xml:space="preserve">Subscription revenue (USD) &gt; Classroom</t>
        </is>
      </c>
      <c r="B79" s="8">
        <f>'Model inputs'!B76</f>
        <v>0</v>
      </c>
      <c r="C79" s="8">
        <f>'Model inputs'!C91*'Model inputs'!O115</f>
        <v>301.6</v>
      </c>
      <c r="D79" s="8">
        <f>'Model inputs'!D91*'Model inputs'!O115</f>
        <v>312.504</v>
      </c>
      <c r="E79" s="8">
        <f>'Model inputs'!E91*'Model inputs'!O115</f>
        <v>322.75376</v>
      </c>
      <c r="F79" s="8">
        <f>'Model inputs'!F91*'Model inputs'!O115</f>
        <v>332.3885344</v>
      </c>
      <c r="G79" s="8">
        <f>'Model inputs'!G91*'Model inputs'!O115</f>
        <v>341.44522233600003</v>
      </c>
      <c r="H79" s="8">
        <f>'Model inputs'!H91*'Model inputs'!O115</f>
        <v>349.95850899584</v>
      </c>
      <c r="I79" s="8">
        <f>'Model inputs'!I91*'Model inputs'!O115</f>
        <v>357.96099845608956</v>
      </c>
      <c r="J79" s="8">
        <f>'Model inputs'!J91*'Model inputs'!O115</f>
        <v>365.4833385487242</v>
      </c>
      <c r="K79" s="8">
        <f>'Model inputs'!K91*'Model inputs'!O115</f>
        <v>372.55433823580074</v>
      </c>
      <c r="L79" s="8">
        <f>'Model inputs'!L91*'Model inputs'!O115</f>
        <v>379.2010779416527</v>
      </c>
      <c r="M79" s="8">
        <f>'Model inputs'!M91*'Model inputs'!O115</f>
        <v>385.4490132651535</v>
      </c>
      <c r="N79" s="8">
        <f>'Model inputs'!N91*'Model inputs'!O115</f>
        <v>391.32207246924435</v>
      </c>
    </row>
    <row r="80" outlineLevel="1">
      <c r="A80" t="inlineStr" s="13">
        <is>
          <t xml:space="preserve">Subscription revenue (USD) &gt; Household</t>
        </is>
      </c>
      <c r="B80" s="8">
        <f>'Model inputs'!B77</f>
        <v>0</v>
      </c>
      <c r="C80" s="8">
        <f>'Model inputs'!C92*'Model inputs'!O116</f>
        <v>293.58</v>
      </c>
      <c r="D80" s="8">
        <f>'Model inputs'!D92*'Model inputs'!O116</f>
        <v>305.463</v>
      </c>
      <c r="E80" s="8">
        <f>'Model inputs'!E92*'Model inputs'!O116</f>
        <v>315.56355</v>
      </c>
      <c r="F80" s="8">
        <f>'Model inputs'!F92*'Model inputs'!O116</f>
        <v>324.14901750000007</v>
      </c>
      <c r="G80" s="8">
        <f>'Model inputs'!G92*'Model inputs'!O116</f>
        <v>331.44666487500007</v>
      </c>
      <c r="H80" s="8">
        <f>'Model inputs'!H92*'Model inputs'!O116</f>
        <v>337.64966514375004</v>
      </c>
      <c r="I80" s="8">
        <f>'Model inputs'!I92*'Model inputs'!O116</f>
        <v>342.92221537218757</v>
      </c>
      <c r="J80" s="8">
        <f>'Model inputs'!J92*'Model inputs'!O116</f>
        <v>347.40388306635947</v>
      </c>
      <c r="K80" s="8">
        <f>'Model inputs'!K92*'Model inputs'!O116</f>
        <v>351.21330060640554</v>
      </c>
      <c r="L80" s="8">
        <f>'Model inputs'!L92*'Model inputs'!O116</f>
        <v>354.4513055154447</v>
      </c>
      <c r="M80" s="8">
        <f>'Model inputs'!M92*'Model inputs'!O116</f>
        <v>357.203609688128</v>
      </c>
      <c r="N80" s="8">
        <f>'Model inputs'!N92*'Model inputs'!O116</f>
        <v>359.5430682349088</v>
      </c>
    </row>
    <row r="81">
      <c r="A81" t="inlineStr" s="12">
        <is>
          <t xml:space="preserve">Subscription revenue (USD)</t>
        </is>
      </c>
      <c r="B81" s="6">
        <f>SUM('Model inputs'!B82,'Model inputs'!B83)</f>
        <v>0</v>
      </c>
      <c r="C81" s="6">
        <f>SUM('Model inputs'!C82,'Model inputs'!C83)</f>
        <v>737.372</v>
      </c>
      <c r="D81" s="6">
        <f>SUM('Model inputs'!D82,'Model inputs'!D83)</f>
        <v>895.63724</v>
      </c>
      <c r="E81" s="6">
        <f>SUM('Model inputs'!E82,'Model inputs'!E83)</f>
        <v>1045.0388108</v>
      </c>
      <c r="F81" s="6">
        <f>SUM('Model inputs'!F82,'Model inputs'!F83)</f>
        <v>1186.171879436</v>
      </c>
      <c r="G81" s="6">
        <f>SUM('Model inputs'!G82,'Model inputs'!G83)</f>
        <v>1319.58741737612</v>
      </c>
      <c r="H81" s="6">
        <f>SUM('Model inputs'!H82,'Model inputs'!H83)</f>
        <v>1445.7956336321804</v>
      </c>
      <c r="I81" s="6">
        <f>SUM('Model inputs'!I82,'Model inputs'!I83)</f>
        <v>1565.2691362983714</v>
      </c>
      <c r="J81" s="6">
        <f>SUM('Model inputs'!J82,'Model inputs'!J83)</f>
        <v>1678.4458441505644</v>
      </c>
      <c r="K81" s="6">
        <f>SUM('Model inputs'!K82,'Model inputs'!K83)</f>
        <v>1785.7316682119</v>
      </c>
      <c r="L81" s="6">
        <f>SUM('Model inputs'!L82,'Model inputs'!L83)</f>
        <v>1887.5029816005267</v>
      </c>
      <c r="M81" s="6">
        <f>SUM('Model inputs'!M82,'Model inputs'!M83)</f>
        <v>1984.1088945126967</v>
      </c>
      <c r="N81" s="6">
        <f>SUM('Model inputs'!N82,'Model inputs'!N83)</f>
        <v>2075.8733498486863</v>
      </c>
    </row>
    <row r="82" outlineLevel="1">
      <c r="A82" t="inlineStr" s="13">
        <is>
          <t xml:space="preserve">Subscription revenue (USD) &gt; Classroom</t>
        </is>
      </c>
      <c r="B82" s="8">
        <f>'Model inputs'!B76</f>
        <v>0</v>
      </c>
      <c r="C82" s="8">
        <f>'Model inputs'!C94*'Model inputs'!O118</f>
        <v>368.29999999999995</v>
      </c>
      <c r="D82" s="8">
        <f>'Model inputs'!D94*'Model inputs'!O118</f>
        <v>444.251</v>
      </c>
      <c r="E82" s="8">
        <f>'Model inputs'!E94*'Model inputs'!O118</f>
        <v>517.92347</v>
      </c>
      <c r="F82" s="8">
        <f>'Model inputs'!F94*'Model inputs'!O118</f>
        <v>589.3857658999999</v>
      </c>
      <c r="G82" s="8">
        <f>'Model inputs'!G94*'Model inputs'!O118</f>
        <v>658.7041929229999</v>
      </c>
      <c r="H82" s="8">
        <f>'Model inputs'!H94*'Model inputs'!O118</f>
        <v>725.94306713531</v>
      </c>
      <c r="I82" s="8">
        <f>'Model inputs'!I94*'Model inputs'!O118</f>
        <v>791.1647751212507</v>
      </c>
      <c r="J82" s="8">
        <f>'Model inputs'!J94*'Model inputs'!O118</f>
        <v>854.4298318676132</v>
      </c>
      <c r="K82" s="8">
        <f>'Model inputs'!K94*'Model inputs'!O118</f>
        <v>915.7969369115848</v>
      </c>
      <c r="L82" s="8">
        <f>'Model inputs'!L94*'Model inputs'!O118</f>
        <v>975.3230288042371</v>
      </c>
      <c r="M82" s="8">
        <f>'Model inputs'!M94*'Model inputs'!O118</f>
        <v>1033.0633379401102</v>
      </c>
      <c r="N82" s="8">
        <f>'Model inputs'!N94*'Model inputs'!O118</f>
        <v>1089.0714378019068</v>
      </c>
    </row>
    <row r="83" outlineLevel="1">
      <c r="A83" t="inlineStr" s="13">
        <is>
          <t xml:space="preserve">Subscription revenue (USD) &gt; Household</t>
        </is>
      </c>
      <c r="B83" s="8">
        <f>'Model inputs'!B77</f>
        <v>0</v>
      </c>
      <c r="C83" s="8">
        <f>'Model inputs'!C95*'Model inputs'!O119</f>
        <v>369.072</v>
      </c>
      <c r="D83" s="8">
        <f>'Model inputs'!D95*'Model inputs'!O119</f>
        <v>451.38624</v>
      </c>
      <c r="E83" s="8">
        <f>'Model inputs'!E95*'Model inputs'!O119</f>
        <v>527.1153408</v>
      </c>
      <c r="F83" s="8">
        <f>'Model inputs'!F95*'Model inputs'!O119</f>
        <v>596.786113536</v>
      </c>
      <c r="G83" s="8">
        <f>'Model inputs'!G95*'Model inputs'!O119</f>
        <v>660.88322445312</v>
      </c>
      <c r="H83" s="8">
        <f>'Model inputs'!H95*'Model inputs'!O119</f>
        <v>719.8525664968704</v>
      </c>
      <c r="I83" s="8">
        <f>'Model inputs'!I95*'Model inputs'!O119</f>
        <v>774.1043611771207</v>
      </c>
      <c r="J83" s="8">
        <f>'Model inputs'!J95*'Model inputs'!O119</f>
        <v>824.0160122829511</v>
      </c>
      <c r="K83" s="8">
        <f>'Model inputs'!K95*'Model inputs'!O119</f>
        <v>869.934731300315</v>
      </c>
      <c r="L83" s="8">
        <f>'Model inputs'!L95*'Model inputs'!O119</f>
        <v>912.1799527962897</v>
      </c>
      <c r="M83" s="8">
        <f>'Model inputs'!M95*'Model inputs'!O119</f>
        <v>951.0455565725866</v>
      </c>
      <c r="N83" s="8">
        <f>'Model inputs'!N95*'Model inputs'!O119</f>
        <v>986.8019120467798</v>
      </c>
    </row>
    <row r="84">
      <c r="A84" t="inlineStr" s="12">
        <is>
          <t xml:space="preserve">Cost per story, selected policy (USD, estimate) · Inference cost (USD, estimate) · Main Scenario · Main Scenario</t>
        </is>
      </c>
      <c r="O84" s="14">
        <f>SUM('Model inputs'!O193,'Model inputs'!O194)+SUM('Model inputs'!O181,'Model inputs'!O182,'Model inputs'!O183)</f>
        <v>0.1959</v>
      </c>
    </row>
    <row r="85">
      <c r="A85" t="inlineStr" s="12">
        <is>
          <t xml:space="preserve">Cost per story, selected policy (USD, estimate) · Inference cost (USD, estimate) · Downside · Downside</t>
        </is>
      </c>
      <c r="O85" s="14">
        <f>SUM('Model inputs'!O196,'Model inputs'!O197)+SUM('Model inputs'!O185,'Model inputs'!O186,'Model inputs'!O187)</f>
        <v>0.3559</v>
      </c>
    </row>
    <row r="86">
      <c r="A86" t="inlineStr" s="12">
        <is>
          <t xml:space="preserve">Cost per story, selected policy (USD, estimate) · Inference cost (USD, estimate) · Growth · Growth</t>
        </is>
      </c>
      <c r="O86" s="14">
        <f>SUM('Model inputs'!O199,'Model inputs'!O200)+SUM('Model inputs'!O189,'Model inputs'!O190,'Model inputs'!O191)</f>
        <v>0.1959</v>
      </c>
    </row>
    <row r="87">
      <c r="A87" t="inlineStr" s="12">
        <is>
          <t xml:space="preserve">Ending customers</t>
        </is>
      </c>
      <c r="B87" s="9">
        <f>SUM('Model inputs'!B88,'Model inputs'!B89)</f>
        <v>50</v>
      </c>
      <c r="C87" s="9">
        <f>SUM('Model inputs'!C88,'Model inputs'!C89)</f>
        <v>55.5</v>
      </c>
      <c r="D87" s="9">
        <f>SUM('Model inputs'!D88,'Model inputs'!D89)</f>
        <v>60.59499999999999</v>
      </c>
      <c r="E87" s="9">
        <f>SUM('Model inputs'!E88,'Model inputs'!E89)</f>
        <v>65.31635</v>
      </c>
      <c r="F87" s="9">
        <f>SUM('Model inputs'!F88,'Model inputs'!F89)</f>
        <v>69.69292349999999</v>
      </c>
      <c r="G87" s="9">
        <f>SUM('Model inputs'!G88,'Model inputs'!G89)</f>
        <v>73.751314675</v>
      </c>
      <c r="H87" s="9">
        <f>SUM('Model inputs'!H88,'Model inputs'!H89)</f>
        <v>77.51601980435</v>
      </c>
      <c r="I87" s="9">
        <f>SUM('Model inputs'!I88,'Model inputs'!I89)</f>
        <v>81.00960421425148</v>
      </c>
      <c r="J87" s="9">
        <f>SUM('Model inputs'!J88,'Model inputs'!J89)</f>
        <v>84.25285589153339</v>
      </c>
      <c r="K87" s="9">
        <f>SUM('Model inputs'!K88,'Model inputs'!K89)</f>
        <v>87.26492683420005</v>
      </c>
      <c r="L87" s="9">
        <f>SUM('Model inputs'!L88,'Model inputs'!L89)</f>
        <v>90.06346311903373</v>
      </c>
      <c r="M87" s="9">
        <f>SUM('Model inputs'!M88,'Model inputs'!M89)</f>
        <v>92.66472458813362</v>
      </c>
      <c r="N87" s="9">
        <f>SUM('Model inputs'!N88,'Model inputs'!N89)</f>
        <v>95.08369498414683</v>
      </c>
    </row>
    <row r="88" outlineLevel="1">
      <c r="A88" t="inlineStr" s="13">
        <is>
          <t xml:space="preserve">Ending customers &gt; Classroom</t>
        </is>
      </c>
      <c r="B88" s="15">
        <f>IF('Model inputs'!O205="","",'Model inputs'!O205)</f>
        <v>10</v>
      </c>
      <c r="C88" s="15">
        <f>'Model inputs'!B88+'Model inputs'!C172-'Model inputs'!C148</f>
        <v>10.7</v>
      </c>
      <c r="D88" s="15">
        <f>'Model inputs'!C88+'Model inputs'!D172-'Model inputs'!D148</f>
        <v>11.379</v>
      </c>
      <c r="E88" s="15">
        <f>'Model inputs'!D88+'Model inputs'!E172-'Model inputs'!E148</f>
        <v>12.03763</v>
      </c>
      <c r="F88" s="15">
        <f>'Model inputs'!E88+'Model inputs'!F172-'Model inputs'!F148</f>
        <v>12.6765011</v>
      </c>
      <c r="G88" s="15">
        <f>'Model inputs'!F88+'Model inputs'!G172-'Model inputs'!G148</f>
        <v>13.296206067</v>
      </c>
      <c r="H88" s="15">
        <f>'Model inputs'!G88+'Model inputs'!H172-'Model inputs'!H148</f>
        <v>13.89731988499</v>
      </c>
      <c r="I88" s="15">
        <f>'Model inputs'!H88+'Model inputs'!I172-'Model inputs'!I148</f>
        <v>14.4804002884403</v>
      </c>
      <c r="J88" s="15">
        <f>'Model inputs'!I88+'Model inputs'!J172-'Model inputs'!J148</f>
        <v>15.04598827978709</v>
      </c>
      <c r="K88" s="15">
        <f>'Model inputs'!J88+'Model inputs'!K172-'Model inputs'!K148</f>
        <v>15.594608631393477</v>
      </c>
      <c r="L88" s="15">
        <f>'Model inputs'!K88+'Model inputs'!L172-'Model inputs'!L148</f>
        <v>16.126770372451674</v>
      </c>
      <c r="M88" s="15">
        <f>'Model inputs'!L88+'Model inputs'!M172-'Model inputs'!M148</f>
        <v>16.642967261278123</v>
      </c>
      <c r="N88" s="15">
        <f>'Model inputs'!M88+'Model inputs'!N172-'Model inputs'!N148</f>
        <v>17.14367824343978</v>
      </c>
    </row>
    <row r="89" outlineLevel="1">
      <c r="A89" t="inlineStr" s="13">
        <is>
          <t xml:space="preserve">Ending customers &gt; Household</t>
        </is>
      </c>
      <c r="B89" s="15">
        <f>IF('Model inputs'!O206="","",'Model inputs'!O206)</f>
        <v>40</v>
      </c>
      <c r="C89" s="15">
        <f>'Model inputs'!B89+'Model inputs'!C173-'Model inputs'!C149</f>
        <v>44.8</v>
      </c>
      <c r="D89" s="15">
        <f>'Model inputs'!C89+'Model inputs'!D173-'Model inputs'!D149</f>
        <v>49.215999999999994</v>
      </c>
      <c r="E89" s="15">
        <f>'Model inputs'!D89+'Model inputs'!E173-'Model inputs'!E149</f>
        <v>53.27871999999999</v>
      </c>
      <c r="F89" s="15">
        <f>'Model inputs'!E89+'Model inputs'!F173-'Model inputs'!F149</f>
        <v>57.016422399999996</v>
      </c>
      <c r="G89" s="15">
        <f>'Model inputs'!F89+'Model inputs'!G173-'Model inputs'!G149</f>
        <v>60.455108607999996</v>
      </c>
      <c r="H89" s="15">
        <f>'Model inputs'!G89+'Model inputs'!H173-'Model inputs'!H149</f>
        <v>63.61869991935999</v>
      </c>
      <c r="I89" s="15">
        <f>'Model inputs'!H89+'Model inputs'!I173-'Model inputs'!I149</f>
        <v>66.52920392581119</v>
      </c>
      <c r="J89" s="15">
        <f>'Model inputs'!I89+'Model inputs'!J173-'Model inputs'!J149</f>
        <v>69.20686761174629</v>
      </c>
      <c r="K89" s="15">
        <f>'Model inputs'!J89+'Model inputs'!K173-'Model inputs'!K149</f>
        <v>71.67031820280658</v>
      </c>
      <c r="L89" s="15">
        <f>'Model inputs'!K89+'Model inputs'!L173-'Model inputs'!L149</f>
        <v>73.93669274658205</v>
      </c>
      <c r="M89" s="15">
        <f>'Model inputs'!L89+'Model inputs'!M173-'Model inputs'!M149</f>
        <v>76.0217573268555</v>
      </c>
      <c r="N89" s="15">
        <f>'Model inputs'!M89+'Model inputs'!N173-'Model inputs'!N149</f>
        <v>77.94001674070705</v>
      </c>
    </row>
    <row r="90">
      <c r="A90" t="inlineStr" s="12">
        <is>
          <t xml:space="preserve">Ending customers</t>
        </is>
      </c>
      <c r="B90" s="9">
        <f>SUM('Model inputs'!B91,'Model inputs'!B92)</f>
        <v>50</v>
      </c>
      <c r="C90" s="9">
        <f>SUM('Model inputs'!C91,'Model inputs'!C92)</f>
        <v>52.4</v>
      </c>
      <c r="D90" s="9">
        <f>SUM('Model inputs'!D91,'Model inputs'!D92)</f>
        <v>54.476</v>
      </c>
      <c r="E90" s="9">
        <f>SUM('Model inputs'!E91,'Model inputs'!E92)</f>
        <v>56.274440000000006</v>
      </c>
      <c r="F90" s="9">
        <f>SUM('Model inputs'!F91,'Model inputs'!F92)</f>
        <v>57.83492360000001</v>
      </c>
      <c r="G90" s="9">
        <f>SUM('Model inputs'!G91,'Model inputs'!G92)</f>
        <v>59.191235684000006</v>
      </c>
      <c r="H90" s="9">
        <f>SUM('Model inputs'!H91,'Model inputs'!H92)</f>
        <v>60.37220791796001</v>
      </c>
      <c r="I90" s="9">
        <f>SUM('Model inputs'!I91,'Model inputs'!I92)</f>
        <v>61.40245486163241</v>
      </c>
      <c r="J90" s="9">
        <f>SUM('Model inputs'!J91,'Model inputs'!J92)</f>
        <v>62.303000075871964</v>
      </c>
      <c r="K90" s="9">
        <f>SUM('Model inputs'!K91,'Model inputs'!K92)</f>
        <v>63.09180870136652</v>
      </c>
      <c r="L90" s="9">
        <f>SUM('Model inputs'!L91,'Model inputs'!L92)</f>
        <v>63.784240514824376</v>
      </c>
      <c r="M90" s="9">
        <f>SUM('Model inputs'!M91,'Model inputs'!M92)</f>
        <v>64.39343536914377</v>
      </c>
      <c r="N90" s="9">
        <f>SUM('Model inputs'!N91,'Model inputs'!N92)</f>
        <v>64.93064113942269</v>
      </c>
    </row>
    <row r="91" outlineLevel="1">
      <c r="A91" t="inlineStr" s="13">
        <is>
          <t xml:space="preserve">Ending customers &gt; Classroom</t>
        </is>
      </c>
      <c r="B91" s="15">
        <f>IF('Model inputs'!O208="","",'Model inputs'!O208)</f>
        <v>10</v>
      </c>
      <c r="C91" s="15">
        <f>'Model inputs'!B91+'Model inputs'!C175-'Model inputs'!C151</f>
        <v>10.4</v>
      </c>
      <c r="D91" s="15">
        <f>'Model inputs'!C91+'Model inputs'!D175-'Model inputs'!D151</f>
        <v>10.776</v>
      </c>
      <c r="E91" s="15">
        <f>'Model inputs'!D91+'Model inputs'!E175-'Model inputs'!E151</f>
        <v>11.12944</v>
      </c>
      <c r="F91" s="15">
        <f>'Model inputs'!E91+'Model inputs'!F175-'Model inputs'!F151</f>
        <v>11.461673600000001</v>
      </c>
      <c r="G91" s="15">
        <f>'Model inputs'!F91+'Model inputs'!G175-'Model inputs'!G151</f>
        <v>11.773973184</v>
      </c>
      <c r="H91" s="15">
        <f>'Model inputs'!G91+'Model inputs'!H175-'Model inputs'!H151</f>
        <v>12.06753479296</v>
      </c>
      <c r="I91" s="15">
        <f>'Model inputs'!H91+'Model inputs'!I175-'Model inputs'!I151</f>
        <v>12.3434827053824</v>
      </c>
      <c r="J91" s="15">
        <f>'Model inputs'!I91+'Model inputs'!J175-'Model inputs'!J151</f>
        <v>12.602873743059455</v>
      </c>
      <c r="K91" s="15">
        <f>'Model inputs'!J91+'Model inputs'!K175-'Model inputs'!K151</f>
        <v>12.846701318475887</v>
      </c>
      <c r="L91" s="15">
        <f>'Model inputs'!K91+'Model inputs'!L175-'Model inputs'!L151</f>
        <v>13.075899239367335</v>
      </c>
      <c r="M91" s="15">
        <f>'Model inputs'!L91+'Model inputs'!M175-'Model inputs'!M151</f>
        <v>13.291345285005294</v>
      </c>
      <c r="N91" s="15">
        <f>'Model inputs'!M91+'Model inputs'!N175-'Model inputs'!N151</f>
        <v>13.493864567904977</v>
      </c>
    </row>
    <row r="92" outlineLevel="1">
      <c r="A92" t="inlineStr" s="13">
        <is>
          <t xml:space="preserve">Ending customers &gt; Household</t>
        </is>
      </c>
      <c r="B92" s="15">
        <f>IF('Model inputs'!O209="","",'Model inputs'!O209)</f>
        <v>40</v>
      </c>
      <c r="C92" s="15">
        <f>'Model inputs'!B92+'Model inputs'!C176-'Model inputs'!C152</f>
        <v>42</v>
      </c>
      <c r="D92" s="15">
        <f>'Model inputs'!C92+'Model inputs'!D176-'Model inputs'!D152</f>
        <v>43.7</v>
      </c>
      <c r="E92" s="15">
        <f>'Model inputs'!D92+'Model inputs'!E176-'Model inputs'!E152</f>
        <v>45.145</v>
      </c>
      <c r="F92" s="15">
        <f>'Model inputs'!E92+'Model inputs'!F176-'Model inputs'!F152</f>
        <v>46.373250000000006</v>
      </c>
      <c r="G92" s="15">
        <f>'Model inputs'!F92+'Model inputs'!G176-'Model inputs'!G152</f>
        <v>47.41726250000001</v>
      </c>
      <c r="H92" s="15">
        <f>'Model inputs'!G92+'Model inputs'!H176-'Model inputs'!H152</f>
        <v>48.30467312500001</v>
      </c>
      <c r="I92" s="15">
        <f>'Model inputs'!H92+'Model inputs'!I176-'Model inputs'!I152</f>
        <v>49.05897215625001</v>
      </c>
      <c r="J92" s="15">
        <f>'Model inputs'!I92+'Model inputs'!J176-'Model inputs'!J152</f>
        <v>49.70012633281251</v>
      </c>
      <c r="K92" s="15">
        <f>'Model inputs'!J92+'Model inputs'!K176-'Model inputs'!K152</f>
        <v>50.24510738289063</v>
      </c>
      <c r="L92" s="15">
        <f>'Model inputs'!K92+'Model inputs'!L176-'Model inputs'!L152</f>
        <v>50.70834127545704</v>
      </c>
      <c r="M92" s="15">
        <f>'Model inputs'!L92+'Model inputs'!M176-'Model inputs'!M152</f>
        <v>51.10209008413848</v>
      </c>
      <c r="N92" s="15">
        <f>'Model inputs'!M92+'Model inputs'!N176-'Model inputs'!N152</f>
        <v>51.43677657151771</v>
      </c>
    </row>
    <row r="93">
      <c r="A93" t="inlineStr" s="12">
        <is>
          <t xml:space="preserve">Ending customers</t>
        </is>
      </c>
      <c r="B93" s="9">
        <f>SUM('Model inputs'!B94,'Model inputs'!B95)</f>
        <v>50</v>
      </c>
      <c r="C93" s="9">
        <f>SUM('Model inputs'!C94,'Model inputs'!C95)</f>
        <v>65.5</v>
      </c>
      <c r="D93" s="9">
        <f>SUM('Model inputs'!D94,'Model inputs'!D95)</f>
        <v>79.895</v>
      </c>
      <c r="E93" s="9">
        <f>SUM('Model inputs'!E94,'Model inputs'!E95)</f>
        <v>93.26935</v>
      </c>
      <c r="F93" s="9">
        <f>SUM('Model inputs'!F94,'Model inputs'!F95)</f>
        <v>105.7007735</v>
      </c>
      <c r="G93" s="9">
        <f>SUM('Model inputs'!G94,'Model inputs'!G95)</f>
        <v>117.26089397499999</v>
      </c>
      <c r="H93" s="9">
        <f>SUM('Model inputs'!H94,'Model inputs'!H95)</f>
        <v>128.01571934135</v>
      </c>
      <c r="I93" s="9">
        <f>SUM('Model inputs'!I94,'Model inputs'!I95)</f>
        <v>138.02608777186148</v>
      </c>
      <c r="J93" s="9">
        <f>SUM('Model inputs'!J94,'Model inputs'!J95)</f>
        <v>147.3480779485975</v>
      </c>
      <c r="K93" s="9">
        <f>SUM('Model inputs'!K94,'Model inputs'!K95)</f>
        <v>156.03338659524005</v>
      </c>
      <c r="L93" s="9">
        <f>SUM('Model inputs'!L94,'Model inputs'!L95)</f>
        <v>164.1296759036753</v>
      </c>
      <c r="M93" s="9">
        <f>SUM('Model inputs'!M94,'Model inputs'!M95)</f>
        <v>171.6808932603541</v>
      </c>
      <c r="N93" s="9">
        <f>SUM('Model inputs'!N94,'Model inputs'!N95)</f>
        <v>178.7275654856294</v>
      </c>
    </row>
    <row r="94" outlineLevel="1">
      <c r="A94" t="inlineStr" s="13">
        <is>
          <t xml:space="preserve">Ending customers &gt; Classroom</t>
        </is>
      </c>
      <c r="B94" s="15">
        <f>IF('Model inputs'!O211="","",'Model inputs'!O211)</f>
        <v>10</v>
      </c>
      <c r="C94" s="15">
        <f>'Model inputs'!B94+'Model inputs'!C178-'Model inputs'!C154</f>
        <v>12.7</v>
      </c>
      <c r="D94" s="15">
        <f>'Model inputs'!C94+'Model inputs'!D178-'Model inputs'!D154</f>
        <v>15.318999999999999</v>
      </c>
      <c r="E94" s="15">
        <f>'Model inputs'!D94+'Model inputs'!E178-'Model inputs'!E154</f>
        <v>17.85943</v>
      </c>
      <c r="F94" s="15">
        <f>'Model inputs'!E94+'Model inputs'!F178-'Model inputs'!F154</f>
        <v>20.3236471</v>
      </c>
      <c r="G94" s="15">
        <f>'Model inputs'!F94+'Model inputs'!G178-'Model inputs'!G154</f>
        <v>22.713937686999998</v>
      </c>
      <c r="H94" s="15">
        <f>'Model inputs'!G94+'Model inputs'!H178-'Model inputs'!H154</f>
        <v>25.03251955639</v>
      </c>
      <c r="I94" s="15">
        <f>'Model inputs'!H94+'Model inputs'!I178-'Model inputs'!I154</f>
        <v>27.2815439696983</v>
      </c>
      <c r="J94" s="15">
        <f>'Model inputs'!I94+'Model inputs'!J178-'Model inputs'!J154</f>
        <v>29.463097650607352</v>
      </c>
      <c r="K94" s="15">
        <f>'Model inputs'!J94+'Model inputs'!K178-'Model inputs'!K154</f>
        <v>31.57920472108913</v>
      </c>
      <c r="L94" s="15">
        <f>'Model inputs'!K94+'Model inputs'!L178-'Model inputs'!L154</f>
        <v>33.63182857945645</v>
      </c>
      <c r="M94" s="15">
        <f>'Model inputs'!L94+'Model inputs'!M178-'Model inputs'!M154</f>
        <v>35.62287372207276</v>
      </c>
      <c r="N94" s="15">
        <f>'Model inputs'!M94+'Model inputs'!N178-'Model inputs'!N154</f>
        <v>37.55418751041058</v>
      </c>
    </row>
    <row r="95" outlineLevel="1">
      <c r="A95" t="inlineStr" s="13">
        <is>
          <t xml:space="preserve">Ending customers &gt; Household</t>
        </is>
      </c>
      <c r="B95" s="15">
        <f>IF('Model inputs'!O212="","",'Model inputs'!O212)</f>
        <v>40</v>
      </c>
      <c r="C95" s="15">
        <f>'Model inputs'!B95+'Model inputs'!C179-'Model inputs'!C155</f>
        <v>52.8</v>
      </c>
      <c r="D95" s="15">
        <f>'Model inputs'!C95+'Model inputs'!D179-'Model inputs'!D155</f>
        <v>64.576</v>
      </c>
      <c r="E95" s="15">
        <f>'Model inputs'!D95+'Model inputs'!E179-'Model inputs'!E155</f>
        <v>75.40992</v>
      </c>
      <c r="F95" s="15">
        <f>'Model inputs'!E95+'Model inputs'!F179-'Model inputs'!F155</f>
        <v>85.3771264</v>
      </c>
      <c r="G95" s="15">
        <f>'Model inputs'!F95+'Model inputs'!G179-'Model inputs'!G155</f>
        <v>94.54695628799999</v>
      </c>
      <c r="H95" s="15">
        <f>'Model inputs'!G95+'Model inputs'!H179-'Model inputs'!H155</f>
        <v>102.98319978496</v>
      </c>
      <c r="I95" s="15">
        <f>'Model inputs'!H95+'Model inputs'!I179-'Model inputs'!I155</f>
        <v>110.7445438021632</v>
      </c>
      <c r="J95" s="15">
        <f>'Model inputs'!I95+'Model inputs'!J179-'Model inputs'!J155</f>
        <v>117.88498029799014</v>
      </c>
      <c r="K95" s="15">
        <f>'Model inputs'!J95+'Model inputs'!K179-'Model inputs'!K155</f>
        <v>124.45418187415092</v>
      </c>
      <c r="L95" s="15">
        <f>'Model inputs'!K95+'Model inputs'!L179-'Model inputs'!L155</f>
        <v>130.49784732421884</v>
      </c>
      <c r="M95" s="15">
        <f>'Model inputs'!L95+'Model inputs'!M179-'Model inputs'!M155</f>
        <v>136.05801953828134</v>
      </c>
      <c r="N95" s="15">
        <f>'Model inputs'!M95+'Model inputs'!N179-'Model inputs'!N155</f>
        <v>141.17337797521884</v>
      </c>
    </row>
    <row r="96">
      <c r="A96" t="inlineStr" s="12">
        <is>
          <t xml:space="preserve">Hosting per month (USD, assumed) · Hosting and neatlogs allocated by revenue (USD) · Main Scenario · Main Scenario</t>
        </is>
      </c>
      <c r="O96" s="8">
        <f>25</f>
        <v>25</v>
      </c>
    </row>
    <row r="97">
      <c r="A97" t="inlineStr" s="12">
        <is>
          <t xml:space="preserve">Hosting per month (USD, assumed) · Hosting and neatlogs allocated by revenue (USD) · Downside · Downside</t>
        </is>
      </c>
      <c r="O97" s="8">
        <f>'Model inputs'!O96</f>
        <v>25</v>
      </c>
    </row>
    <row r="98">
      <c r="A98" t="inlineStr" s="12">
        <is>
          <t xml:space="preserve">Hosting per month (USD, assumed) · Hosting and neatlogs allocated by revenue (USD) · Growth · Growth</t>
        </is>
      </c>
      <c r="O98" s="8">
        <f>'Model inputs'!O96</f>
        <v>25</v>
      </c>
    </row>
    <row r="99">
      <c r="A99" t="inlineStr" s="12">
        <is>
          <t xml:space="preserve">neatlogs bill (USD, derived) · Main Scenario</t>
        </is>
      </c>
      <c r="B99" s="8">
        <v>0</v>
      </c>
      <c r="C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inputs'!C201&lt;='Model inputs'!O159),'Model inputs'!C201&lt;='Model inputs'!O159,IF(OR('Model inputs'!C201="",'Model inputs'!O159=""),"",'Model inputs'!C201&lt;='Model inputs'!O159))="",FALSE,IF(ISERROR('Model inputs'!C201&lt;='Model inputs'!O159),'Model inputs'!C201&lt;='Model inputs'!O159,IF(OR('Model inputs'!C201="",'Model inputs'!O159=""),"",'Model inputs'!C201&lt;='Model inputs'!O159))),0,IF(IF(IF(ISERROR('Model inputs'!C201&lt;='Model inputs'!O165),'Model inputs'!C201&lt;='Model inputs'!O165,IF(OR('Model inputs'!C201="",'Model inputs'!O165=""),"",'Model inputs'!C201&lt;='Model inputs'!O165))="",FALSE,IF(ISERROR('Model inputs'!C201&lt;='Model inputs'!O165),'Model inputs'!C201&lt;='Model inputs'!O165,IF(OR('Model inputs'!C201="",'Model inputs'!O165=""),"",'Model inputs'!C201&lt;='Model inputs'!O165))),IF('Model inputs'!O168="","",'Model inputs'!O168),'Model inputs'!O168+CEILING(('Model inputs'!C201-'Model inputs'!O165)/100000,1)*'Model inputs'!O162)))</f>
        <v>0</v>
      </c>
      <c r="D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inputs'!D201&lt;='Model inputs'!O159),'Model inputs'!D201&lt;='Model inputs'!O159,IF(OR('Model inputs'!D201="",'Model inputs'!O159=""),"",'Model inputs'!D201&lt;='Model inputs'!O159))="",FALSE,IF(ISERROR('Model inputs'!D201&lt;='Model inputs'!O159),'Model inputs'!D201&lt;='Model inputs'!O159,IF(OR('Model inputs'!D201="",'Model inputs'!O159=""),"",'Model inputs'!D201&lt;='Model inputs'!O159))),0,IF(IF(IF(ISERROR('Model inputs'!D201&lt;='Model inputs'!O165),'Model inputs'!D201&lt;='Model inputs'!O165,IF(OR('Model inputs'!D201="",'Model inputs'!O165=""),"",'Model inputs'!D201&lt;='Model inputs'!O165))="",FALSE,IF(ISERROR('Model inputs'!D201&lt;='Model inputs'!O165),'Model inputs'!D201&lt;='Model inputs'!O165,IF(OR('Model inputs'!D201="",'Model inputs'!O165=""),"",'Model inputs'!D201&lt;='Model inputs'!O165))),IF('Model inputs'!O168="","",'Model inputs'!O168),'Model inputs'!O168+CEILING(('Model inputs'!D201-'Model inputs'!O165)/100000,1)*'Model inputs'!O162)))</f>
        <v>0</v>
      </c>
      <c r="E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inputs'!E201&lt;='Model inputs'!O159),'Model inputs'!E201&lt;='Model inputs'!O159,IF(OR('Model inputs'!E201="",'Model inputs'!O159=""),"",'Model inputs'!E201&lt;='Model inputs'!O159))="",FALSE,IF(ISERROR('Model inputs'!E201&lt;='Model inputs'!O159),'Model inputs'!E201&lt;='Model inputs'!O159,IF(OR('Model inputs'!E201="",'Model inputs'!O159=""),"",'Model inputs'!E201&lt;='Model inputs'!O159))),0,IF(IF(IF(ISERROR('Model inputs'!E201&lt;='Model inputs'!O165),'Model inputs'!E201&lt;='Model inputs'!O165,IF(OR('Model inputs'!E201="",'Model inputs'!O165=""),"",'Model inputs'!E201&lt;='Model inputs'!O165))="",FALSE,IF(ISERROR('Model inputs'!E201&lt;='Model inputs'!O165),'Model inputs'!E201&lt;='Model inputs'!O165,IF(OR('Model inputs'!E201="",'Model inputs'!O165=""),"",'Model inputs'!E201&lt;='Model inputs'!O165))),IF('Model inputs'!O168="","",'Model inputs'!O168),'Model inputs'!O168+CEILING(('Model inputs'!E201-'Model inputs'!O165)/100000,1)*'Model inputs'!O162)))</f>
        <v>0</v>
      </c>
      <c r="F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inputs'!F201&lt;='Model inputs'!O159),'Model inputs'!F201&lt;='Model inputs'!O159,IF(OR('Model inputs'!F201="",'Model inputs'!O159=""),"",'Model inputs'!F201&lt;='Model inputs'!O159))="",FALSE,IF(ISERROR('Model inputs'!F201&lt;='Model inputs'!O159),'Model inputs'!F201&lt;='Model inputs'!O159,IF(OR('Model inputs'!F201="",'Model inputs'!O159=""),"",'Model inputs'!F201&lt;='Model inputs'!O159))),0,IF(IF(IF(ISERROR('Model inputs'!F201&lt;='Model inputs'!O165),'Model inputs'!F201&lt;='Model inputs'!O165,IF(OR('Model inputs'!F201="",'Model inputs'!O165=""),"",'Model inputs'!F201&lt;='Model inputs'!O165))="",FALSE,IF(ISERROR('Model inputs'!F201&lt;='Model inputs'!O165),'Model inputs'!F201&lt;='Model inputs'!O165,IF(OR('Model inputs'!F201="",'Model inputs'!O165=""),"",'Model inputs'!F201&lt;='Model inputs'!O165))),IF('Model inputs'!O168="","",'Model inputs'!O168),'Model inputs'!O168+CEILING(('Model inputs'!F201-'Model inputs'!O165)/100000,1)*'Model inputs'!O162)))</f>
        <v>0</v>
      </c>
      <c r="G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inputs'!G201&lt;='Model inputs'!O159),'Model inputs'!G201&lt;='Model inputs'!O159,IF(OR('Model inputs'!G201="",'Model inputs'!O159=""),"",'Model inputs'!G201&lt;='Model inputs'!O159))="",FALSE,IF(ISERROR('Model inputs'!G201&lt;='Model inputs'!O159),'Model inputs'!G201&lt;='Model inputs'!O159,IF(OR('Model inputs'!G201="",'Model inputs'!O159=""),"",'Model inputs'!G201&lt;='Model inputs'!O159))),0,IF(IF(IF(ISERROR('Model inputs'!G201&lt;='Model inputs'!O165),'Model inputs'!G201&lt;='Model inputs'!O165,IF(OR('Model inputs'!G201="",'Model inputs'!O165=""),"",'Model inputs'!G201&lt;='Model inputs'!O165))="",FALSE,IF(ISERROR('Model inputs'!G201&lt;='Model inputs'!O165),'Model inputs'!G201&lt;='Model inputs'!O165,IF(OR('Model inputs'!G201="",'Model inputs'!O165=""),"",'Model inputs'!G201&lt;='Model inputs'!O165))),IF('Model inputs'!O168="","",'Model inputs'!O168),'Model inputs'!O168+CEILING(('Model inputs'!G201-'Model inputs'!O165)/100000,1)*'Model inputs'!O162)))</f>
        <v>0</v>
      </c>
      <c r="H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inputs'!H201&lt;='Model inputs'!O159),'Model inputs'!H201&lt;='Model inputs'!O159,IF(OR('Model inputs'!H201="",'Model inputs'!O159=""),"",'Model inputs'!H201&lt;='Model inputs'!O159))="",FALSE,IF(ISERROR('Model inputs'!H201&lt;='Model inputs'!O159),'Model inputs'!H201&lt;='Model inputs'!O159,IF(OR('Model inputs'!H201="",'Model inputs'!O159=""),"",'Model inputs'!H201&lt;='Model inputs'!O159))),0,IF(IF(IF(ISERROR('Model inputs'!H201&lt;='Model inputs'!O165),'Model inputs'!H201&lt;='Model inputs'!O165,IF(OR('Model inputs'!H201="",'Model inputs'!O165=""),"",'Model inputs'!H201&lt;='Model inputs'!O165))="",FALSE,IF(ISERROR('Model inputs'!H201&lt;='Model inputs'!O165),'Model inputs'!H201&lt;='Model inputs'!O165,IF(OR('Model inputs'!H201="",'Model inputs'!O165=""),"",'Model inputs'!H201&lt;='Model inputs'!O165))),IF('Model inputs'!O168="","",'Model inputs'!O168),'Model inputs'!O168+CEILING(('Model inputs'!H201-'Model inputs'!O165)/100000,1)*'Model inputs'!O162)))</f>
        <v>0</v>
      </c>
      <c r="I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inputs'!I201&lt;='Model inputs'!O159),'Model inputs'!I201&lt;='Model inputs'!O159,IF(OR('Model inputs'!I201="",'Model inputs'!O159=""),"",'Model inputs'!I201&lt;='Model inputs'!O159))="",FALSE,IF(ISERROR('Model inputs'!I201&lt;='Model inputs'!O159),'Model inputs'!I201&lt;='Model inputs'!O159,IF(OR('Model inputs'!I201="",'Model inputs'!O159=""),"",'Model inputs'!I201&lt;='Model inputs'!O159))),0,IF(IF(IF(ISERROR('Model inputs'!I201&lt;='Model inputs'!O165),'Model inputs'!I201&lt;='Model inputs'!O165,IF(OR('Model inputs'!I201="",'Model inputs'!O165=""),"",'Model inputs'!I201&lt;='Model inputs'!O165))="",FALSE,IF(ISERROR('Model inputs'!I201&lt;='Model inputs'!O165),'Model inputs'!I201&lt;='Model inputs'!O165,IF(OR('Model inputs'!I201="",'Model inputs'!O165=""),"",'Model inputs'!I201&lt;='Model inputs'!O165))),IF('Model inputs'!O168="","",'Model inputs'!O168),'Model inputs'!O168+CEILING(('Model inputs'!I201-'Model inputs'!O165)/100000,1)*'Model inputs'!O162)))</f>
        <v>0</v>
      </c>
      <c r="J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inputs'!J201&lt;='Model inputs'!O159),'Model inputs'!J201&lt;='Model inputs'!O159,IF(OR('Model inputs'!J201="",'Model inputs'!O159=""),"",'Model inputs'!J201&lt;='Model inputs'!O159))="",FALSE,IF(ISERROR('Model inputs'!J201&lt;='Model inputs'!O159),'Model inputs'!J201&lt;='Model inputs'!O159,IF(OR('Model inputs'!J201="",'Model inputs'!O159=""),"",'Model inputs'!J201&lt;='Model inputs'!O159))),0,IF(IF(IF(ISERROR('Model inputs'!J201&lt;='Model inputs'!O165),'Model inputs'!J201&lt;='Model inputs'!O165,IF(OR('Model inputs'!J201="",'Model inputs'!O165=""),"",'Model inputs'!J201&lt;='Model inputs'!O165))="",FALSE,IF(ISERROR('Model inputs'!J201&lt;='Model inputs'!O165),'Model inputs'!J201&lt;='Model inputs'!O165,IF(OR('Model inputs'!J201="",'Model inputs'!O165=""),"",'Model inputs'!J201&lt;='Model inputs'!O165))),IF('Model inputs'!O168="","",'Model inputs'!O168),'Model inputs'!O168+CEILING(('Model inputs'!J201-'Model inputs'!O165)/100000,1)*'Model inputs'!O162)))</f>
        <v>0</v>
      </c>
      <c r="K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inputs'!K201&lt;='Model inputs'!O159),'Model inputs'!K201&lt;='Model inputs'!O159,IF(OR('Model inputs'!K201="",'Model inputs'!O159=""),"",'Model inputs'!K201&lt;='Model inputs'!O159))="",FALSE,IF(ISERROR('Model inputs'!K201&lt;='Model inputs'!O159),'Model inputs'!K201&lt;='Model inputs'!O159,IF(OR('Model inputs'!K201="",'Model inputs'!O159=""),"",'Model inputs'!K201&lt;='Model inputs'!O159))),0,IF(IF(IF(ISERROR('Model inputs'!K201&lt;='Model inputs'!O165),'Model inputs'!K201&lt;='Model inputs'!O165,IF(OR('Model inputs'!K201="",'Model inputs'!O165=""),"",'Model inputs'!K201&lt;='Model inputs'!O165))="",FALSE,IF(ISERROR('Model inputs'!K201&lt;='Model inputs'!O165),'Model inputs'!K201&lt;='Model inputs'!O165,IF(OR('Model inputs'!K201="",'Model inputs'!O165=""),"",'Model inputs'!K201&lt;='Model inputs'!O165))),IF('Model inputs'!O168="","",'Model inputs'!O168),'Model inputs'!O168+CEILING(('Model inputs'!K201-'Model inputs'!O165)/100000,1)*'Model inputs'!O162)))</f>
        <v>0</v>
      </c>
      <c r="L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inputs'!L201&lt;='Model inputs'!O159),'Model inputs'!L201&lt;='Model inputs'!O159,IF(OR('Model inputs'!L201="",'Model inputs'!O159=""),"",'Model inputs'!L201&lt;='Model inputs'!O159))="",FALSE,IF(ISERROR('Model inputs'!L201&lt;='Model inputs'!O159),'Model inputs'!L201&lt;='Model inputs'!O159,IF(OR('Model inputs'!L201="",'Model inputs'!O159=""),"",'Model inputs'!L201&lt;='Model inputs'!O159))),0,IF(IF(IF(ISERROR('Model inputs'!L201&lt;='Model inputs'!O165),'Model inputs'!L201&lt;='Model inputs'!O165,IF(OR('Model inputs'!L201="",'Model inputs'!O165=""),"",'Model inputs'!L201&lt;='Model inputs'!O165))="",FALSE,IF(ISERROR('Model inputs'!L201&lt;='Model inputs'!O165),'Model inputs'!L201&lt;='Model inputs'!O165,IF(OR('Model inputs'!L201="",'Model inputs'!O165=""),"",'Model inputs'!L201&lt;='Model inputs'!O165))),IF('Model inputs'!O168="","",'Model inputs'!O168),'Model inputs'!O168+CEILING(('Model inputs'!L201-'Model inputs'!O165)/100000,1)*'Model inputs'!O162)))</f>
        <v>0</v>
      </c>
      <c r="M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inputs'!M201&lt;='Model inputs'!O159),'Model inputs'!M201&lt;='Model inputs'!O159,IF(OR('Model inputs'!M201="",'Model inputs'!O159=""),"",'Model inputs'!M201&lt;='Model inputs'!O159))="",FALSE,IF(ISERROR('Model inputs'!M201&lt;='Model inputs'!O159),'Model inputs'!M201&lt;='Model inputs'!O159,IF(OR('Model inputs'!M201="",'Model inputs'!O159=""),"",'Model inputs'!M201&lt;='Model inputs'!O159))),0,IF(IF(IF(ISERROR('Model inputs'!M201&lt;='Model inputs'!O165),'Model inputs'!M201&lt;='Model inputs'!O165,IF(OR('Model inputs'!M201="",'Model inputs'!O165=""),"",'Model inputs'!M201&lt;='Model inputs'!O165))="",FALSE,IF(ISERROR('Model inputs'!M201&lt;='Model inputs'!O165),'Model inputs'!M201&lt;='Model inputs'!O165,IF(OR('Model inputs'!M201="",'Model inputs'!O165=""),"",'Model inputs'!M201&lt;='Model inputs'!O165))),IF('Model inputs'!O168="","",'Model inputs'!O168),'Model inputs'!O168+CEILING(('Model inputs'!M201-'Model inputs'!O165)/100000,1)*'Model inputs'!O162)))</f>
        <v>0</v>
      </c>
      <c r="N99" s="8">
        <f>IF(IF(IF(ISERROR('Model inputs'!O156=1),'Model inputs'!O156=1,IF('Model inputs'!O156="","",'Model inputs'!O156=1))="",FALSE,IF(ISERROR('Model inputs'!O156=1),'Model inputs'!O156=1,IF('Model inputs'!O156="","",'Model inputs'!O156=1))),0,IF(IF(IF(ISERROR('Model inputs'!N201&lt;='Model inputs'!O159),'Model inputs'!N201&lt;='Model inputs'!O159,IF(OR('Model inputs'!N201="",'Model inputs'!O159=""),"",'Model inputs'!N201&lt;='Model inputs'!O159))="",FALSE,IF(ISERROR('Model inputs'!N201&lt;='Model inputs'!O159),'Model inputs'!N201&lt;='Model inputs'!O159,IF(OR('Model inputs'!N201="",'Model inputs'!O159=""),"",'Model inputs'!N201&lt;='Model inputs'!O159))),0,IF(IF(IF(ISERROR('Model inputs'!N201&lt;='Model inputs'!O165),'Model inputs'!N201&lt;='Model inputs'!O165,IF(OR('Model inputs'!N201="",'Model inputs'!O165=""),"",'Model inputs'!N201&lt;='Model inputs'!O165))="",FALSE,IF(ISERROR('Model inputs'!N201&lt;='Model inputs'!O165),'Model inputs'!N201&lt;='Model inputs'!O165,IF(OR('Model inputs'!N201="",'Model inputs'!O165=""),"",'Model inputs'!N201&lt;='Model inputs'!O165))),IF('Model inputs'!O168="","",'Model inputs'!O168),'Model inputs'!O168+CEILING(('Model inputs'!N201-'Model inputs'!O165)/100000,1)*'Model inputs'!O162)))</f>
        <v>0</v>
      </c>
    </row>
    <row r="100">
      <c r="A100" t="inlineStr" s="12">
        <is>
          <t xml:space="preserve">neatlogs bill (USD, derived) · Downside</t>
        </is>
      </c>
      <c r="B100" s="8">
        <v>0</v>
      </c>
      <c r="C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inputs'!C202&lt;='Model inputs'!O160),'Model inputs'!C202&lt;='Model inputs'!O160,IF(OR('Model inputs'!C202="",'Model inputs'!O160=""),"",'Model inputs'!C202&lt;='Model inputs'!O160))="",FALSE,IF(ISERROR('Model inputs'!C202&lt;='Model inputs'!O160),'Model inputs'!C202&lt;='Model inputs'!O160,IF(OR('Model inputs'!C202="",'Model inputs'!O160=""),"",'Model inputs'!C202&lt;='Model inputs'!O160))),0,IF(IF(IF(ISERROR('Model inputs'!C202&lt;='Model inputs'!O166),'Model inputs'!C202&lt;='Model inputs'!O166,IF(OR('Model inputs'!C202="",'Model inputs'!O166=""),"",'Model inputs'!C202&lt;='Model inputs'!O166))="",FALSE,IF(ISERROR('Model inputs'!C202&lt;='Model inputs'!O166),'Model inputs'!C202&lt;='Model inputs'!O166,IF(OR('Model inputs'!C202="",'Model inputs'!O166=""),"",'Model inputs'!C202&lt;='Model inputs'!O166))),IF('Model inputs'!O169="","",'Model inputs'!O169),'Model inputs'!O169+CEILING(('Model inputs'!C202-'Model inputs'!O166)/100000,1)*'Model inputs'!O163)))</f>
        <v>0</v>
      </c>
      <c r="D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inputs'!D202&lt;='Model inputs'!O160),'Model inputs'!D202&lt;='Model inputs'!O160,IF(OR('Model inputs'!D202="",'Model inputs'!O160=""),"",'Model inputs'!D202&lt;='Model inputs'!O160))="",FALSE,IF(ISERROR('Model inputs'!D202&lt;='Model inputs'!O160),'Model inputs'!D202&lt;='Model inputs'!O160,IF(OR('Model inputs'!D202="",'Model inputs'!O160=""),"",'Model inputs'!D202&lt;='Model inputs'!O160))),0,IF(IF(IF(ISERROR('Model inputs'!D202&lt;='Model inputs'!O166),'Model inputs'!D202&lt;='Model inputs'!O166,IF(OR('Model inputs'!D202="",'Model inputs'!O166=""),"",'Model inputs'!D202&lt;='Model inputs'!O166))="",FALSE,IF(ISERROR('Model inputs'!D202&lt;='Model inputs'!O166),'Model inputs'!D202&lt;='Model inputs'!O166,IF(OR('Model inputs'!D202="",'Model inputs'!O166=""),"",'Model inputs'!D202&lt;='Model inputs'!O166))),IF('Model inputs'!O169="","",'Model inputs'!O169),'Model inputs'!O169+CEILING(('Model inputs'!D202-'Model inputs'!O166)/100000,1)*'Model inputs'!O163)))</f>
        <v>0</v>
      </c>
      <c r="E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inputs'!E202&lt;='Model inputs'!O160),'Model inputs'!E202&lt;='Model inputs'!O160,IF(OR('Model inputs'!E202="",'Model inputs'!O160=""),"",'Model inputs'!E202&lt;='Model inputs'!O160))="",FALSE,IF(ISERROR('Model inputs'!E202&lt;='Model inputs'!O160),'Model inputs'!E202&lt;='Model inputs'!O160,IF(OR('Model inputs'!E202="",'Model inputs'!O160=""),"",'Model inputs'!E202&lt;='Model inputs'!O160))),0,IF(IF(IF(ISERROR('Model inputs'!E202&lt;='Model inputs'!O166),'Model inputs'!E202&lt;='Model inputs'!O166,IF(OR('Model inputs'!E202="",'Model inputs'!O166=""),"",'Model inputs'!E202&lt;='Model inputs'!O166))="",FALSE,IF(ISERROR('Model inputs'!E202&lt;='Model inputs'!O166),'Model inputs'!E202&lt;='Model inputs'!O166,IF(OR('Model inputs'!E202="",'Model inputs'!O166=""),"",'Model inputs'!E202&lt;='Model inputs'!O166))),IF('Model inputs'!O169="","",'Model inputs'!O169),'Model inputs'!O169+CEILING(('Model inputs'!E202-'Model inputs'!O166)/100000,1)*'Model inputs'!O163)))</f>
        <v>0</v>
      </c>
      <c r="F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inputs'!F202&lt;='Model inputs'!O160),'Model inputs'!F202&lt;='Model inputs'!O160,IF(OR('Model inputs'!F202="",'Model inputs'!O160=""),"",'Model inputs'!F202&lt;='Model inputs'!O160))="",FALSE,IF(ISERROR('Model inputs'!F202&lt;='Model inputs'!O160),'Model inputs'!F202&lt;='Model inputs'!O160,IF(OR('Model inputs'!F202="",'Model inputs'!O160=""),"",'Model inputs'!F202&lt;='Model inputs'!O160))),0,IF(IF(IF(ISERROR('Model inputs'!F202&lt;='Model inputs'!O166),'Model inputs'!F202&lt;='Model inputs'!O166,IF(OR('Model inputs'!F202="",'Model inputs'!O166=""),"",'Model inputs'!F202&lt;='Model inputs'!O166))="",FALSE,IF(ISERROR('Model inputs'!F202&lt;='Model inputs'!O166),'Model inputs'!F202&lt;='Model inputs'!O166,IF(OR('Model inputs'!F202="",'Model inputs'!O166=""),"",'Model inputs'!F202&lt;='Model inputs'!O166))),IF('Model inputs'!O169="","",'Model inputs'!O169),'Model inputs'!O169+CEILING(('Model inputs'!F202-'Model inputs'!O166)/100000,1)*'Model inputs'!O163)))</f>
        <v>0</v>
      </c>
      <c r="G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inputs'!G202&lt;='Model inputs'!O160),'Model inputs'!G202&lt;='Model inputs'!O160,IF(OR('Model inputs'!G202="",'Model inputs'!O160=""),"",'Model inputs'!G202&lt;='Model inputs'!O160))="",FALSE,IF(ISERROR('Model inputs'!G202&lt;='Model inputs'!O160),'Model inputs'!G202&lt;='Model inputs'!O160,IF(OR('Model inputs'!G202="",'Model inputs'!O160=""),"",'Model inputs'!G202&lt;='Model inputs'!O160))),0,IF(IF(IF(ISERROR('Model inputs'!G202&lt;='Model inputs'!O166),'Model inputs'!G202&lt;='Model inputs'!O166,IF(OR('Model inputs'!G202="",'Model inputs'!O166=""),"",'Model inputs'!G202&lt;='Model inputs'!O166))="",FALSE,IF(ISERROR('Model inputs'!G202&lt;='Model inputs'!O166),'Model inputs'!G202&lt;='Model inputs'!O166,IF(OR('Model inputs'!G202="",'Model inputs'!O166=""),"",'Model inputs'!G202&lt;='Model inputs'!O166))),IF('Model inputs'!O169="","",'Model inputs'!O169),'Model inputs'!O169+CEILING(('Model inputs'!G202-'Model inputs'!O166)/100000,1)*'Model inputs'!O163)))</f>
        <v>0</v>
      </c>
      <c r="H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inputs'!H202&lt;='Model inputs'!O160),'Model inputs'!H202&lt;='Model inputs'!O160,IF(OR('Model inputs'!H202="",'Model inputs'!O160=""),"",'Model inputs'!H202&lt;='Model inputs'!O160))="",FALSE,IF(ISERROR('Model inputs'!H202&lt;='Model inputs'!O160),'Model inputs'!H202&lt;='Model inputs'!O160,IF(OR('Model inputs'!H202="",'Model inputs'!O160=""),"",'Model inputs'!H202&lt;='Model inputs'!O160))),0,IF(IF(IF(ISERROR('Model inputs'!H202&lt;='Model inputs'!O166),'Model inputs'!H202&lt;='Model inputs'!O166,IF(OR('Model inputs'!H202="",'Model inputs'!O166=""),"",'Model inputs'!H202&lt;='Model inputs'!O166))="",FALSE,IF(ISERROR('Model inputs'!H202&lt;='Model inputs'!O166),'Model inputs'!H202&lt;='Model inputs'!O166,IF(OR('Model inputs'!H202="",'Model inputs'!O166=""),"",'Model inputs'!H202&lt;='Model inputs'!O166))),IF('Model inputs'!O169="","",'Model inputs'!O169),'Model inputs'!O169+CEILING(('Model inputs'!H202-'Model inputs'!O166)/100000,1)*'Model inputs'!O163)))</f>
        <v>0</v>
      </c>
      <c r="I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inputs'!I202&lt;='Model inputs'!O160),'Model inputs'!I202&lt;='Model inputs'!O160,IF(OR('Model inputs'!I202="",'Model inputs'!O160=""),"",'Model inputs'!I202&lt;='Model inputs'!O160))="",FALSE,IF(ISERROR('Model inputs'!I202&lt;='Model inputs'!O160),'Model inputs'!I202&lt;='Model inputs'!O160,IF(OR('Model inputs'!I202="",'Model inputs'!O160=""),"",'Model inputs'!I202&lt;='Model inputs'!O160))),0,IF(IF(IF(ISERROR('Model inputs'!I202&lt;='Model inputs'!O166),'Model inputs'!I202&lt;='Model inputs'!O166,IF(OR('Model inputs'!I202="",'Model inputs'!O166=""),"",'Model inputs'!I202&lt;='Model inputs'!O166))="",FALSE,IF(ISERROR('Model inputs'!I202&lt;='Model inputs'!O166),'Model inputs'!I202&lt;='Model inputs'!O166,IF(OR('Model inputs'!I202="",'Model inputs'!O166=""),"",'Model inputs'!I202&lt;='Model inputs'!O166))),IF('Model inputs'!O169="","",'Model inputs'!O169),'Model inputs'!O169+CEILING(('Model inputs'!I202-'Model inputs'!O166)/100000,1)*'Model inputs'!O163)))</f>
        <v>0</v>
      </c>
      <c r="J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inputs'!J202&lt;='Model inputs'!O160),'Model inputs'!J202&lt;='Model inputs'!O160,IF(OR('Model inputs'!J202="",'Model inputs'!O160=""),"",'Model inputs'!J202&lt;='Model inputs'!O160))="",FALSE,IF(ISERROR('Model inputs'!J202&lt;='Model inputs'!O160),'Model inputs'!J202&lt;='Model inputs'!O160,IF(OR('Model inputs'!J202="",'Model inputs'!O160=""),"",'Model inputs'!J202&lt;='Model inputs'!O160))),0,IF(IF(IF(ISERROR('Model inputs'!J202&lt;='Model inputs'!O166),'Model inputs'!J202&lt;='Model inputs'!O166,IF(OR('Model inputs'!J202="",'Model inputs'!O166=""),"",'Model inputs'!J202&lt;='Model inputs'!O166))="",FALSE,IF(ISERROR('Model inputs'!J202&lt;='Model inputs'!O166),'Model inputs'!J202&lt;='Model inputs'!O166,IF(OR('Model inputs'!J202="",'Model inputs'!O166=""),"",'Model inputs'!J202&lt;='Model inputs'!O166))),IF('Model inputs'!O169="","",'Model inputs'!O169),'Model inputs'!O169+CEILING(('Model inputs'!J202-'Model inputs'!O166)/100000,1)*'Model inputs'!O163)))</f>
        <v>0</v>
      </c>
      <c r="K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inputs'!K202&lt;='Model inputs'!O160),'Model inputs'!K202&lt;='Model inputs'!O160,IF(OR('Model inputs'!K202="",'Model inputs'!O160=""),"",'Model inputs'!K202&lt;='Model inputs'!O160))="",FALSE,IF(ISERROR('Model inputs'!K202&lt;='Model inputs'!O160),'Model inputs'!K202&lt;='Model inputs'!O160,IF(OR('Model inputs'!K202="",'Model inputs'!O160=""),"",'Model inputs'!K202&lt;='Model inputs'!O160))),0,IF(IF(IF(ISERROR('Model inputs'!K202&lt;='Model inputs'!O166),'Model inputs'!K202&lt;='Model inputs'!O166,IF(OR('Model inputs'!K202="",'Model inputs'!O166=""),"",'Model inputs'!K202&lt;='Model inputs'!O166))="",FALSE,IF(ISERROR('Model inputs'!K202&lt;='Model inputs'!O166),'Model inputs'!K202&lt;='Model inputs'!O166,IF(OR('Model inputs'!K202="",'Model inputs'!O166=""),"",'Model inputs'!K202&lt;='Model inputs'!O166))),IF('Model inputs'!O169="","",'Model inputs'!O169),'Model inputs'!O169+CEILING(('Model inputs'!K202-'Model inputs'!O166)/100000,1)*'Model inputs'!O163)))</f>
        <v>0</v>
      </c>
      <c r="L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inputs'!L202&lt;='Model inputs'!O160),'Model inputs'!L202&lt;='Model inputs'!O160,IF(OR('Model inputs'!L202="",'Model inputs'!O160=""),"",'Model inputs'!L202&lt;='Model inputs'!O160))="",FALSE,IF(ISERROR('Model inputs'!L202&lt;='Model inputs'!O160),'Model inputs'!L202&lt;='Model inputs'!O160,IF(OR('Model inputs'!L202="",'Model inputs'!O160=""),"",'Model inputs'!L202&lt;='Model inputs'!O160))),0,IF(IF(IF(ISERROR('Model inputs'!L202&lt;='Model inputs'!O166),'Model inputs'!L202&lt;='Model inputs'!O166,IF(OR('Model inputs'!L202="",'Model inputs'!O166=""),"",'Model inputs'!L202&lt;='Model inputs'!O166))="",FALSE,IF(ISERROR('Model inputs'!L202&lt;='Model inputs'!O166),'Model inputs'!L202&lt;='Model inputs'!O166,IF(OR('Model inputs'!L202="",'Model inputs'!O166=""),"",'Model inputs'!L202&lt;='Model inputs'!O166))),IF('Model inputs'!O169="","",'Model inputs'!O169),'Model inputs'!O169+CEILING(('Model inputs'!L202-'Model inputs'!O166)/100000,1)*'Model inputs'!O163)))</f>
        <v>0</v>
      </c>
      <c r="M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inputs'!M202&lt;='Model inputs'!O160),'Model inputs'!M202&lt;='Model inputs'!O160,IF(OR('Model inputs'!M202="",'Model inputs'!O160=""),"",'Model inputs'!M202&lt;='Model inputs'!O160))="",FALSE,IF(ISERROR('Model inputs'!M202&lt;='Model inputs'!O160),'Model inputs'!M202&lt;='Model inputs'!O160,IF(OR('Model inputs'!M202="",'Model inputs'!O160=""),"",'Model inputs'!M202&lt;='Model inputs'!O160))),0,IF(IF(IF(ISERROR('Model inputs'!M202&lt;='Model inputs'!O166),'Model inputs'!M202&lt;='Model inputs'!O166,IF(OR('Model inputs'!M202="",'Model inputs'!O166=""),"",'Model inputs'!M202&lt;='Model inputs'!O166))="",FALSE,IF(ISERROR('Model inputs'!M202&lt;='Model inputs'!O166),'Model inputs'!M202&lt;='Model inputs'!O166,IF(OR('Model inputs'!M202="",'Model inputs'!O166=""),"",'Model inputs'!M202&lt;='Model inputs'!O166))),IF('Model inputs'!O169="","",'Model inputs'!O169),'Model inputs'!O169+CEILING(('Model inputs'!M202-'Model inputs'!O166)/100000,1)*'Model inputs'!O163)))</f>
        <v>0</v>
      </c>
      <c r="N100" s="8">
        <f>IF(IF(IF(ISERROR('Model inputs'!O157=1),'Model inputs'!O157=1,IF('Model inputs'!O157="","",'Model inputs'!O157=1))="",FALSE,IF(ISERROR('Model inputs'!O157=1),'Model inputs'!O157=1,IF('Model inputs'!O157="","",'Model inputs'!O157=1))),0,IF(IF(IF(ISERROR('Model inputs'!N202&lt;='Model inputs'!O160),'Model inputs'!N202&lt;='Model inputs'!O160,IF(OR('Model inputs'!N202="",'Model inputs'!O160=""),"",'Model inputs'!N202&lt;='Model inputs'!O160))="",FALSE,IF(ISERROR('Model inputs'!N202&lt;='Model inputs'!O160),'Model inputs'!N202&lt;='Model inputs'!O160,IF(OR('Model inputs'!N202="",'Model inputs'!O160=""),"",'Model inputs'!N202&lt;='Model inputs'!O160))),0,IF(IF(IF(ISERROR('Model inputs'!N202&lt;='Model inputs'!O166),'Model inputs'!N202&lt;='Model inputs'!O166,IF(OR('Model inputs'!N202="",'Model inputs'!O166=""),"",'Model inputs'!N202&lt;='Model inputs'!O166))="",FALSE,IF(ISERROR('Model inputs'!N202&lt;='Model inputs'!O166),'Model inputs'!N202&lt;='Model inputs'!O166,IF(OR('Model inputs'!N202="",'Model inputs'!O166=""),"",'Model inputs'!N202&lt;='Model inputs'!O166))),IF('Model inputs'!O169="","",'Model inputs'!O169),'Model inputs'!O169+CEILING(('Model inputs'!N202-'Model inputs'!O166)/100000,1)*'Model inputs'!O163)))</f>
        <v>0</v>
      </c>
    </row>
    <row r="101">
      <c r="A101" t="inlineStr" s="12">
        <is>
          <t xml:space="preserve">neatlogs bill (USD, derived) · Growth</t>
        </is>
      </c>
      <c r="B101" s="8">
        <v>0</v>
      </c>
      <c r="C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inputs'!C203&lt;='Model inputs'!O161),'Model inputs'!C203&lt;='Model inputs'!O161,IF(OR('Model inputs'!C203="",'Model inputs'!O161=""),"",'Model inputs'!C203&lt;='Model inputs'!O161))="",FALSE,IF(ISERROR('Model inputs'!C203&lt;='Model inputs'!O161),'Model inputs'!C203&lt;='Model inputs'!O161,IF(OR('Model inputs'!C203="",'Model inputs'!O161=""),"",'Model inputs'!C203&lt;='Model inputs'!O161))),0,IF(IF(IF(ISERROR('Model inputs'!C203&lt;='Model inputs'!O167),'Model inputs'!C203&lt;='Model inputs'!O167,IF(OR('Model inputs'!C203="",'Model inputs'!O167=""),"",'Model inputs'!C203&lt;='Model inputs'!O167))="",FALSE,IF(ISERROR('Model inputs'!C203&lt;='Model inputs'!O167),'Model inputs'!C203&lt;='Model inputs'!O167,IF(OR('Model inputs'!C203="",'Model inputs'!O167=""),"",'Model inputs'!C203&lt;='Model inputs'!O167))),IF('Model inputs'!O170="","",'Model inputs'!O170),'Model inputs'!O170+CEILING(('Model inputs'!C203-'Model inputs'!O167)/100000,1)*'Model inputs'!O164)))</f>
        <v>0</v>
      </c>
      <c r="D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inputs'!D203&lt;='Model inputs'!O161),'Model inputs'!D203&lt;='Model inputs'!O161,IF(OR('Model inputs'!D203="",'Model inputs'!O161=""),"",'Model inputs'!D203&lt;='Model inputs'!O161))="",FALSE,IF(ISERROR('Model inputs'!D203&lt;='Model inputs'!O161),'Model inputs'!D203&lt;='Model inputs'!O161,IF(OR('Model inputs'!D203="",'Model inputs'!O161=""),"",'Model inputs'!D203&lt;='Model inputs'!O161))),0,IF(IF(IF(ISERROR('Model inputs'!D203&lt;='Model inputs'!O167),'Model inputs'!D203&lt;='Model inputs'!O167,IF(OR('Model inputs'!D203="",'Model inputs'!O167=""),"",'Model inputs'!D203&lt;='Model inputs'!O167))="",FALSE,IF(ISERROR('Model inputs'!D203&lt;='Model inputs'!O167),'Model inputs'!D203&lt;='Model inputs'!O167,IF(OR('Model inputs'!D203="",'Model inputs'!O167=""),"",'Model inputs'!D203&lt;='Model inputs'!O167))),IF('Model inputs'!O170="","",'Model inputs'!O170),'Model inputs'!O170+CEILING(('Model inputs'!D203-'Model inputs'!O167)/100000,1)*'Model inputs'!O164)))</f>
        <v>0</v>
      </c>
      <c r="E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inputs'!E203&lt;='Model inputs'!O161),'Model inputs'!E203&lt;='Model inputs'!O161,IF(OR('Model inputs'!E203="",'Model inputs'!O161=""),"",'Model inputs'!E203&lt;='Model inputs'!O161))="",FALSE,IF(ISERROR('Model inputs'!E203&lt;='Model inputs'!O161),'Model inputs'!E203&lt;='Model inputs'!O161,IF(OR('Model inputs'!E203="",'Model inputs'!O161=""),"",'Model inputs'!E203&lt;='Model inputs'!O161))),0,IF(IF(IF(ISERROR('Model inputs'!E203&lt;='Model inputs'!O167),'Model inputs'!E203&lt;='Model inputs'!O167,IF(OR('Model inputs'!E203="",'Model inputs'!O167=""),"",'Model inputs'!E203&lt;='Model inputs'!O167))="",FALSE,IF(ISERROR('Model inputs'!E203&lt;='Model inputs'!O167),'Model inputs'!E203&lt;='Model inputs'!O167,IF(OR('Model inputs'!E203="",'Model inputs'!O167=""),"",'Model inputs'!E203&lt;='Model inputs'!O167))),IF('Model inputs'!O170="","",'Model inputs'!O170),'Model inputs'!O170+CEILING(('Model inputs'!E203-'Model inputs'!O167)/100000,1)*'Model inputs'!O164)))</f>
        <v>0</v>
      </c>
      <c r="F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inputs'!F203&lt;='Model inputs'!O161),'Model inputs'!F203&lt;='Model inputs'!O161,IF(OR('Model inputs'!F203="",'Model inputs'!O161=""),"",'Model inputs'!F203&lt;='Model inputs'!O161))="",FALSE,IF(ISERROR('Model inputs'!F203&lt;='Model inputs'!O161),'Model inputs'!F203&lt;='Model inputs'!O161,IF(OR('Model inputs'!F203="",'Model inputs'!O161=""),"",'Model inputs'!F203&lt;='Model inputs'!O161))),0,IF(IF(IF(ISERROR('Model inputs'!F203&lt;='Model inputs'!O167),'Model inputs'!F203&lt;='Model inputs'!O167,IF(OR('Model inputs'!F203="",'Model inputs'!O167=""),"",'Model inputs'!F203&lt;='Model inputs'!O167))="",FALSE,IF(ISERROR('Model inputs'!F203&lt;='Model inputs'!O167),'Model inputs'!F203&lt;='Model inputs'!O167,IF(OR('Model inputs'!F203="",'Model inputs'!O167=""),"",'Model inputs'!F203&lt;='Model inputs'!O167))),IF('Model inputs'!O170="","",'Model inputs'!O170),'Model inputs'!O170+CEILING(('Model inputs'!F203-'Model inputs'!O167)/100000,1)*'Model inputs'!O164)))</f>
        <v>0</v>
      </c>
      <c r="G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inputs'!G203&lt;='Model inputs'!O161),'Model inputs'!G203&lt;='Model inputs'!O161,IF(OR('Model inputs'!G203="",'Model inputs'!O161=""),"",'Model inputs'!G203&lt;='Model inputs'!O161))="",FALSE,IF(ISERROR('Model inputs'!G203&lt;='Model inputs'!O161),'Model inputs'!G203&lt;='Model inputs'!O161,IF(OR('Model inputs'!G203="",'Model inputs'!O161=""),"",'Model inputs'!G203&lt;='Model inputs'!O161))),0,IF(IF(IF(ISERROR('Model inputs'!G203&lt;='Model inputs'!O167),'Model inputs'!G203&lt;='Model inputs'!O167,IF(OR('Model inputs'!G203="",'Model inputs'!O167=""),"",'Model inputs'!G203&lt;='Model inputs'!O167))="",FALSE,IF(ISERROR('Model inputs'!G203&lt;='Model inputs'!O167),'Model inputs'!G203&lt;='Model inputs'!O167,IF(OR('Model inputs'!G203="",'Model inputs'!O167=""),"",'Model inputs'!G203&lt;='Model inputs'!O167))),IF('Model inputs'!O170="","",'Model inputs'!O170),'Model inputs'!O170+CEILING(('Model inputs'!G203-'Model inputs'!O167)/100000,1)*'Model inputs'!O164)))</f>
        <v>0</v>
      </c>
      <c r="H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inputs'!H203&lt;='Model inputs'!O161),'Model inputs'!H203&lt;='Model inputs'!O161,IF(OR('Model inputs'!H203="",'Model inputs'!O161=""),"",'Model inputs'!H203&lt;='Model inputs'!O161))="",FALSE,IF(ISERROR('Model inputs'!H203&lt;='Model inputs'!O161),'Model inputs'!H203&lt;='Model inputs'!O161,IF(OR('Model inputs'!H203="",'Model inputs'!O161=""),"",'Model inputs'!H203&lt;='Model inputs'!O161))),0,IF(IF(IF(ISERROR('Model inputs'!H203&lt;='Model inputs'!O167),'Model inputs'!H203&lt;='Model inputs'!O167,IF(OR('Model inputs'!H203="",'Model inputs'!O167=""),"",'Model inputs'!H203&lt;='Model inputs'!O167))="",FALSE,IF(ISERROR('Model inputs'!H203&lt;='Model inputs'!O167),'Model inputs'!H203&lt;='Model inputs'!O167,IF(OR('Model inputs'!H203="",'Model inputs'!O167=""),"",'Model inputs'!H203&lt;='Model inputs'!O167))),IF('Model inputs'!O170="","",'Model inputs'!O170),'Model inputs'!O170+CEILING(('Model inputs'!H203-'Model inputs'!O167)/100000,1)*'Model inputs'!O164)))</f>
        <v>0</v>
      </c>
      <c r="I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inputs'!I203&lt;='Model inputs'!O161),'Model inputs'!I203&lt;='Model inputs'!O161,IF(OR('Model inputs'!I203="",'Model inputs'!O161=""),"",'Model inputs'!I203&lt;='Model inputs'!O161))="",FALSE,IF(ISERROR('Model inputs'!I203&lt;='Model inputs'!O161),'Model inputs'!I203&lt;='Model inputs'!O161,IF(OR('Model inputs'!I203="",'Model inputs'!O161=""),"",'Model inputs'!I203&lt;='Model inputs'!O161))),0,IF(IF(IF(ISERROR('Model inputs'!I203&lt;='Model inputs'!O167),'Model inputs'!I203&lt;='Model inputs'!O167,IF(OR('Model inputs'!I203="",'Model inputs'!O167=""),"",'Model inputs'!I203&lt;='Model inputs'!O167))="",FALSE,IF(ISERROR('Model inputs'!I203&lt;='Model inputs'!O167),'Model inputs'!I203&lt;='Model inputs'!O167,IF(OR('Model inputs'!I203="",'Model inputs'!O167=""),"",'Model inputs'!I203&lt;='Model inputs'!O167))),IF('Model inputs'!O170="","",'Model inputs'!O170),'Model inputs'!O170+CEILING(('Model inputs'!I203-'Model inputs'!O167)/100000,1)*'Model inputs'!O164)))</f>
        <v>0</v>
      </c>
      <c r="J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inputs'!J203&lt;='Model inputs'!O161),'Model inputs'!J203&lt;='Model inputs'!O161,IF(OR('Model inputs'!J203="",'Model inputs'!O161=""),"",'Model inputs'!J203&lt;='Model inputs'!O161))="",FALSE,IF(ISERROR('Model inputs'!J203&lt;='Model inputs'!O161),'Model inputs'!J203&lt;='Model inputs'!O161,IF(OR('Model inputs'!J203="",'Model inputs'!O161=""),"",'Model inputs'!J203&lt;='Model inputs'!O161))),0,IF(IF(IF(ISERROR('Model inputs'!J203&lt;='Model inputs'!O167),'Model inputs'!J203&lt;='Model inputs'!O167,IF(OR('Model inputs'!J203="",'Model inputs'!O167=""),"",'Model inputs'!J203&lt;='Model inputs'!O167))="",FALSE,IF(ISERROR('Model inputs'!J203&lt;='Model inputs'!O167),'Model inputs'!J203&lt;='Model inputs'!O167,IF(OR('Model inputs'!J203="",'Model inputs'!O167=""),"",'Model inputs'!J203&lt;='Model inputs'!O167))),IF('Model inputs'!O170="","",'Model inputs'!O170),'Model inputs'!O170+CEILING(('Model inputs'!J203-'Model inputs'!O167)/100000,1)*'Model inputs'!O164)))</f>
        <v>0</v>
      </c>
      <c r="K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inputs'!K203&lt;='Model inputs'!O161),'Model inputs'!K203&lt;='Model inputs'!O161,IF(OR('Model inputs'!K203="",'Model inputs'!O161=""),"",'Model inputs'!K203&lt;='Model inputs'!O161))="",FALSE,IF(ISERROR('Model inputs'!K203&lt;='Model inputs'!O161),'Model inputs'!K203&lt;='Model inputs'!O161,IF(OR('Model inputs'!K203="",'Model inputs'!O161=""),"",'Model inputs'!K203&lt;='Model inputs'!O161))),0,IF(IF(IF(ISERROR('Model inputs'!K203&lt;='Model inputs'!O167),'Model inputs'!K203&lt;='Model inputs'!O167,IF(OR('Model inputs'!K203="",'Model inputs'!O167=""),"",'Model inputs'!K203&lt;='Model inputs'!O167))="",FALSE,IF(ISERROR('Model inputs'!K203&lt;='Model inputs'!O167),'Model inputs'!K203&lt;='Model inputs'!O167,IF(OR('Model inputs'!K203="",'Model inputs'!O167=""),"",'Model inputs'!K203&lt;='Model inputs'!O167))),IF('Model inputs'!O170="","",'Model inputs'!O170),'Model inputs'!O170+CEILING(('Model inputs'!K203-'Model inputs'!O167)/100000,1)*'Model inputs'!O164)))</f>
        <v>0</v>
      </c>
      <c r="L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inputs'!L203&lt;='Model inputs'!O161),'Model inputs'!L203&lt;='Model inputs'!O161,IF(OR('Model inputs'!L203="",'Model inputs'!O161=""),"",'Model inputs'!L203&lt;='Model inputs'!O161))="",FALSE,IF(ISERROR('Model inputs'!L203&lt;='Model inputs'!O161),'Model inputs'!L203&lt;='Model inputs'!O161,IF(OR('Model inputs'!L203="",'Model inputs'!O161=""),"",'Model inputs'!L203&lt;='Model inputs'!O161))),0,IF(IF(IF(ISERROR('Model inputs'!L203&lt;='Model inputs'!O167),'Model inputs'!L203&lt;='Model inputs'!O167,IF(OR('Model inputs'!L203="",'Model inputs'!O167=""),"",'Model inputs'!L203&lt;='Model inputs'!O167))="",FALSE,IF(ISERROR('Model inputs'!L203&lt;='Model inputs'!O167),'Model inputs'!L203&lt;='Model inputs'!O167,IF(OR('Model inputs'!L203="",'Model inputs'!O167=""),"",'Model inputs'!L203&lt;='Model inputs'!O167))),IF('Model inputs'!O170="","",'Model inputs'!O170),'Model inputs'!O170+CEILING(('Model inputs'!L203-'Model inputs'!O167)/100000,1)*'Model inputs'!O164)))</f>
        <v>0</v>
      </c>
      <c r="M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inputs'!M203&lt;='Model inputs'!O161),'Model inputs'!M203&lt;='Model inputs'!O161,IF(OR('Model inputs'!M203="",'Model inputs'!O161=""),"",'Model inputs'!M203&lt;='Model inputs'!O161))="",FALSE,IF(ISERROR('Model inputs'!M203&lt;='Model inputs'!O161),'Model inputs'!M203&lt;='Model inputs'!O161,IF(OR('Model inputs'!M203="",'Model inputs'!O161=""),"",'Model inputs'!M203&lt;='Model inputs'!O161))),0,IF(IF(IF(ISERROR('Model inputs'!M203&lt;='Model inputs'!O167),'Model inputs'!M203&lt;='Model inputs'!O167,IF(OR('Model inputs'!M203="",'Model inputs'!O167=""),"",'Model inputs'!M203&lt;='Model inputs'!O167))="",FALSE,IF(ISERROR('Model inputs'!M203&lt;='Model inputs'!O167),'Model inputs'!M203&lt;='Model inputs'!O167,IF(OR('Model inputs'!M203="",'Model inputs'!O167=""),"",'Model inputs'!M203&lt;='Model inputs'!O167))),IF('Model inputs'!O170="","",'Model inputs'!O170),'Model inputs'!O170+CEILING(('Model inputs'!M203-'Model inputs'!O167)/100000,1)*'Model inputs'!O164)))</f>
        <v>0</v>
      </c>
      <c r="N101" s="8">
        <f>IF(IF(IF(ISERROR('Model inputs'!O158=1),'Model inputs'!O158=1,IF('Model inputs'!O158="","",'Model inputs'!O158=1))="",FALSE,IF(ISERROR('Model inputs'!O158=1),'Model inputs'!O158=1,IF('Model inputs'!O158="","",'Model inputs'!O158=1))),0,IF(IF(IF(ISERROR('Model inputs'!N203&lt;='Model inputs'!O161),'Model inputs'!N203&lt;='Model inputs'!O161,IF(OR('Model inputs'!N203="",'Model inputs'!O161=""),"",'Model inputs'!N203&lt;='Model inputs'!O161))="",FALSE,IF(ISERROR('Model inputs'!N203&lt;='Model inputs'!O161),'Model inputs'!N203&lt;='Model inputs'!O161,IF(OR('Model inputs'!N203="",'Model inputs'!O161=""),"",'Model inputs'!N203&lt;='Model inputs'!O161))),0,IF(IF(IF(ISERROR('Model inputs'!N203&lt;='Model inputs'!O167),'Model inputs'!N203&lt;='Model inputs'!O167,IF(OR('Model inputs'!N203="",'Model inputs'!O167=""),"",'Model inputs'!N203&lt;='Model inputs'!O167))="",FALSE,IF(ISERROR('Model inputs'!N203&lt;='Model inputs'!O167),'Model inputs'!N203&lt;='Model inputs'!O167,IF(OR('Model inputs'!N203="",'Model inputs'!O167=""),"",'Model inputs'!N203&lt;='Model inputs'!O167))),IF('Model inputs'!O170="","",'Model inputs'!O170),'Model inputs'!O170+CEILING(('Model inputs'!N203-'Model inputs'!O167)/100000,1)*'Model inputs'!O164)))</f>
        <v>0</v>
      </c>
    </row>
    <row r="102">
      <c r="A102" t="inlineStr" s="12">
        <is>
          <t xml:space="preserve">Overage price per extra story (USD, assumed)</t>
        </is>
      </c>
      <c r="O102" s="16">
        <v>0</v>
      </c>
    </row>
    <row r="103" outlineLevel="1">
      <c r="A103" t="inlineStr" s="13">
        <is>
          <t xml:space="preserve">Overage price per extra story (USD, assumed) &gt; Classroom</t>
        </is>
      </c>
      <c r="O103" s="17">
        <f>0.25</f>
        <v>0.25</v>
      </c>
    </row>
    <row r="104" outlineLevel="1">
      <c r="A104" t="inlineStr" s="13">
        <is>
          <t xml:space="preserve">Overage price per extra story (USD, assumed) &gt; Household</t>
        </is>
      </c>
      <c r="O104" s="17">
        <f>0.6</f>
        <v>0.6</v>
      </c>
    </row>
    <row r="105">
      <c r="A105" t="inlineStr" s="12">
        <is>
          <t xml:space="preserve">Overage price per extra story (USD, assumed)</t>
        </is>
      </c>
      <c r="O105" s="16">
        <v>0</v>
      </c>
    </row>
    <row r="106" outlineLevel="1">
      <c r="A106" t="inlineStr" s="13">
        <is>
          <t xml:space="preserve">Overage price per extra story (USD, assumed) &gt; Classroom</t>
        </is>
      </c>
      <c r="O106" s="17">
        <f>'Model inputs'!O103</f>
        <v>0.25</v>
      </c>
    </row>
    <row r="107" outlineLevel="1">
      <c r="A107" t="inlineStr" s="13">
        <is>
          <t xml:space="preserve">Overage price per extra story (USD, assumed) &gt; Household</t>
        </is>
      </c>
      <c r="O107" s="17">
        <f>'Model inputs'!O104</f>
        <v>0.6</v>
      </c>
    </row>
    <row r="108">
      <c r="A108" t="inlineStr" s="12">
        <is>
          <t xml:space="preserve">Overage price per extra story (USD, assumed)</t>
        </is>
      </c>
      <c r="O108" s="16">
        <v>0</v>
      </c>
    </row>
    <row r="109" outlineLevel="1">
      <c r="A109" t="inlineStr" s="13">
        <is>
          <t xml:space="preserve">Overage price per extra story (USD, assumed) &gt; Classroom</t>
        </is>
      </c>
      <c r="O109" s="17">
        <f>'Model inputs'!O103</f>
        <v>0.25</v>
      </c>
    </row>
    <row r="110" outlineLevel="1">
      <c r="A110" t="inlineStr" s="13">
        <is>
          <t xml:space="preserve">Overage price per extra story (USD, assumed) &gt; Household</t>
        </is>
      </c>
      <c r="O110" s="17">
        <f>'Model inputs'!O104</f>
        <v>0.6</v>
      </c>
    </row>
    <row r="111">
      <c r="A111" t="inlineStr" s="12">
        <is>
          <t xml:space="preserve">Price per month (USD, assumed)</t>
        </is>
      </c>
      <c r="O111" s="16">
        <v>0</v>
      </c>
    </row>
    <row r="112" outlineLevel="1">
      <c r="A112" t="inlineStr" s="13">
        <is>
          <t xml:space="preserve">Price per month (USD, assumed) &gt; Classroom</t>
        </is>
      </c>
      <c r="O112" s="17">
        <f>29</f>
        <v>29</v>
      </c>
    </row>
    <row r="113" outlineLevel="1">
      <c r="A113" t="inlineStr" s="13">
        <is>
          <t xml:space="preserve">Price per month (USD, assumed) &gt; Household</t>
        </is>
      </c>
      <c r="O113" s="17">
        <f>6.99</f>
        <v>6.99</v>
      </c>
    </row>
    <row r="114">
      <c r="A114" t="inlineStr" s="12">
        <is>
          <t xml:space="preserve">Price per month (USD, assumed)</t>
        </is>
      </c>
      <c r="O114" s="16">
        <v>0</v>
      </c>
    </row>
    <row r="115" outlineLevel="1">
      <c r="A115" t="inlineStr" s="13">
        <is>
          <t xml:space="preserve">Price per month (USD, assumed) &gt; Classroom</t>
        </is>
      </c>
      <c r="O115" s="17">
        <f>'Model inputs'!O112</f>
        <v>29</v>
      </c>
    </row>
    <row r="116" outlineLevel="1">
      <c r="A116" t="inlineStr" s="13">
        <is>
          <t xml:space="preserve">Price per month (USD, assumed) &gt; Household</t>
        </is>
      </c>
      <c r="O116" s="17">
        <f>'Model inputs'!O113</f>
        <v>6.99</v>
      </c>
    </row>
    <row r="117">
      <c r="A117" t="inlineStr" s="12">
        <is>
          <t xml:space="preserve">Price per month (USD, assumed)</t>
        </is>
      </c>
      <c r="O117" s="16">
        <v>0</v>
      </c>
    </row>
    <row r="118" outlineLevel="1">
      <c r="A118" t="inlineStr" s="13">
        <is>
          <t xml:space="preserve">Price per month (USD, assumed) &gt; Classroom</t>
        </is>
      </c>
      <c r="O118" s="17">
        <f>'Model inputs'!O112</f>
        <v>29</v>
      </c>
    </row>
    <row r="119" outlineLevel="1">
      <c r="A119" t="inlineStr" s="13">
        <is>
          <t xml:space="preserve">Price per month (USD, assumed) &gt; Household</t>
        </is>
      </c>
      <c r="O119" s="17">
        <f>'Model inputs'!O113</f>
        <v>6.99</v>
      </c>
    </row>
    <row r="120">
      <c r="A120" t="inlineStr" s="12">
        <is>
          <t xml:space="preserve">Stories delivered</t>
        </is>
      </c>
      <c r="B120" s="18">
        <f>SUM('Model inputs'!B121,'Model inputs'!B122)</f>
        <v>0</v>
      </c>
      <c r="C120" s="18">
        <f>SUM('Model inputs'!C121,'Model inputs'!C122)</f>
        <v>964.56</v>
      </c>
      <c r="D120" s="18">
        <f>SUM('Model inputs'!D121,'Model inputs'!D122)</f>
        <v>1037.0952</v>
      </c>
      <c r="E120" s="18">
        <f>SUM('Model inputs'!E121,'Model inputs'!E122)</f>
        <v>1105.864584</v>
      </c>
      <c r="F120" s="18">
        <f>SUM('Model inputs'!F121,'Model inputs'!F122)</f>
        <v>1171.10830728</v>
      </c>
      <c r="G120" s="18">
        <f>SUM('Model inputs'!G121,'Model inputs'!G122)</f>
        <v>1233.0491459976</v>
      </c>
      <c r="H120" s="18">
        <f>SUM('Model inputs'!H121,'Model inputs'!H122)</f>
        <v>1291.893832518792</v>
      </c>
      <c r="I120" s="18">
        <f>SUM('Model inputs'!I121,'Model inputs'!I122)</f>
        <v>1347.8342855722585</v>
      </c>
      <c r="J120" s="18">
        <f>SUM('Model inputs'!J121,'Model inputs'!J122)</f>
        <v>1401.0487435917987</v>
      </c>
      <c r="K120" s="18">
        <f>SUM('Model inputs'!K121,'Model inputs'!K122)</f>
        <v>1451.7028089438159</v>
      </c>
      <c r="L120" s="18">
        <f>SUM('Model inputs'!L121,'Model inputs'!L122)</f>
        <v>1499.9504101224911</v>
      </c>
      <c r="M120" s="18">
        <f>SUM('Model inputs'!M121,'Model inputs'!M122)</f>
        <v>1545.934688430047</v>
      </c>
      <c r="N120" s="18">
        <f>SUM('Model inputs'!N121,'Model inputs'!N122)</f>
        <v>1589.7888151394773</v>
      </c>
    </row>
    <row r="121" outlineLevel="1">
      <c r="A121" t="inlineStr" s="13">
        <is>
          <t xml:space="preserve">Stories delivered &gt; Classroom</t>
        </is>
      </c>
      <c r="B121" s="19">
        <f>0</f>
        <v>0</v>
      </c>
      <c r="C121" s="19">
        <f>'Model inputs'!C88*'Model inputs'!O139</f>
        <v>642</v>
      </c>
      <c r="D121" s="19">
        <f>'Model inputs'!D88*'Model inputs'!O139</f>
        <v>682.74</v>
      </c>
      <c r="E121" s="19">
        <f>'Model inputs'!E88*'Model inputs'!O139</f>
        <v>722.2578</v>
      </c>
      <c r="F121" s="19">
        <f>'Model inputs'!F88*'Model inputs'!O139</f>
        <v>760.590066</v>
      </c>
      <c r="G121" s="19">
        <f>'Model inputs'!G88*'Model inputs'!O139</f>
        <v>797.7723640199999</v>
      </c>
      <c r="H121" s="19">
        <f>'Model inputs'!H88*'Model inputs'!O139</f>
        <v>833.8391930994001</v>
      </c>
      <c r="I121" s="19">
        <f>'Model inputs'!I88*'Model inputs'!O139</f>
        <v>868.824017306418</v>
      </c>
      <c r="J121" s="19">
        <f>'Model inputs'!J88*'Model inputs'!O139</f>
        <v>902.7592967872255</v>
      </c>
      <c r="K121" s="19">
        <f>'Model inputs'!K88*'Model inputs'!O139</f>
        <v>935.6765178836087</v>
      </c>
      <c r="L121" s="19">
        <f>'Model inputs'!L88*'Model inputs'!O139</f>
        <v>967.6062223471004</v>
      </c>
      <c r="M121" s="19">
        <f>'Model inputs'!M88*'Model inputs'!O139</f>
        <v>998.5780356766874</v>
      </c>
      <c r="N121" s="19">
        <f>'Model inputs'!N88*'Model inputs'!O139</f>
        <v>1028.6206946063867</v>
      </c>
    </row>
    <row r="122" outlineLevel="1">
      <c r="A122" t="inlineStr" s="13">
        <is>
          <t xml:space="preserve">Stories delivered &gt; Household</t>
        </is>
      </c>
      <c r="B122" s="19">
        <f>0</f>
        <v>0</v>
      </c>
      <c r="C122" s="19">
        <f>'Model inputs'!C89*'Model inputs'!O140</f>
        <v>322.55999999999995</v>
      </c>
      <c r="D122" s="19">
        <f>'Model inputs'!D89*'Model inputs'!O140</f>
        <v>354.3551999999999</v>
      </c>
      <c r="E122" s="19">
        <f>'Model inputs'!E89*'Model inputs'!O140</f>
        <v>383.6067839999999</v>
      </c>
      <c r="F122" s="19">
        <f>'Model inputs'!F89*'Model inputs'!O140</f>
        <v>410.5182412799999</v>
      </c>
      <c r="G122" s="19">
        <f>'Model inputs'!G89*'Model inputs'!O140</f>
        <v>435.2767819775999</v>
      </c>
      <c r="H122" s="19">
        <f>'Model inputs'!H89*'Model inputs'!O140</f>
        <v>458.0546394193919</v>
      </c>
      <c r="I122" s="19">
        <f>'Model inputs'!I89*'Model inputs'!O140</f>
        <v>479.0102682658405</v>
      </c>
      <c r="J122" s="19">
        <f>'Model inputs'!J89*'Model inputs'!O140</f>
        <v>498.28944680457323</v>
      </c>
      <c r="K122" s="19">
        <f>'Model inputs'!K89*'Model inputs'!O140</f>
        <v>516.0262910602073</v>
      </c>
      <c r="L122" s="19">
        <f>'Model inputs'!L89*'Model inputs'!O140</f>
        <v>532.3441877753908</v>
      </c>
      <c r="M122" s="19">
        <f>'Model inputs'!M89*'Model inputs'!O140</f>
        <v>547.3566527533595</v>
      </c>
      <c r="N122" s="19">
        <f>'Model inputs'!N89*'Model inputs'!O140</f>
        <v>561.1681205330907</v>
      </c>
    </row>
    <row r="123">
      <c r="A123" t="inlineStr" s="12">
        <is>
          <t xml:space="preserve">Stories delivered</t>
        </is>
      </c>
      <c r="B123" s="18">
        <f>SUM('Model inputs'!B124,'Model inputs'!B125)</f>
        <v>0</v>
      </c>
      <c r="C123" s="18">
        <f>SUM('Model inputs'!C124,'Model inputs'!C125)</f>
        <v>926.4</v>
      </c>
      <c r="D123" s="18">
        <f>SUM('Model inputs'!D124,'Model inputs'!D125)</f>
        <v>961.1999999999999</v>
      </c>
      <c r="E123" s="18">
        <f>SUM('Model inputs'!E124,'Model inputs'!E125)</f>
        <v>992.8104000000001</v>
      </c>
      <c r="F123" s="18">
        <f>SUM('Model inputs'!F124,'Model inputs'!F125)</f>
        <v>1021.587816</v>
      </c>
      <c r="G123" s="18">
        <f>SUM('Model inputs'!G124,'Model inputs'!G125)</f>
        <v>1047.8426810400001</v>
      </c>
      <c r="H123" s="18">
        <f>SUM('Model inputs'!H124,'Model inputs'!H125)</f>
        <v>1071.8457340776</v>
      </c>
      <c r="I123" s="18">
        <f>SUM('Model inputs'!I124,'Model inputs'!I125)</f>
        <v>1093.833561847944</v>
      </c>
      <c r="J123" s="18">
        <f>SUM('Model inputs'!J124,'Model inputs'!J125)</f>
        <v>1114.0133341798173</v>
      </c>
      <c r="K123" s="18">
        <f>SUM('Model inputs'!K124,'Model inputs'!K125)</f>
        <v>1132.5668522653657</v>
      </c>
      <c r="L123" s="18">
        <f>SUM('Model inputs'!L124,'Model inputs'!L125)</f>
        <v>1149.6540115453306</v>
      </c>
      <c r="M123" s="18">
        <f>SUM('Model inputs'!M124,'Model inputs'!M125)</f>
        <v>1165.4157657061146</v>
      </c>
      <c r="N123" s="18">
        <f>SUM('Model inputs'!N124,'Model inputs'!N125)</f>
        <v>1179.9766653892261</v>
      </c>
    </row>
    <row r="124" outlineLevel="1">
      <c r="A124" t="inlineStr" s="13">
        <is>
          <t xml:space="preserve">Stories delivered &gt; Classroom</t>
        </is>
      </c>
      <c r="B124" s="19">
        <f>'Model inputs'!B121</f>
        <v>0</v>
      </c>
      <c r="C124" s="19">
        <f>'Model inputs'!C91*'Model inputs'!O142</f>
        <v>624</v>
      </c>
      <c r="D124" s="19">
        <f>'Model inputs'!D91*'Model inputs'!O142</f>
        <v>646.56</v>
      </c>
      <c r="E124" s="19">
        <f>'Model inputs'!E91*'Model inputs'!O142</f>
        <v>667.7664000000001</v>
      </c>
      <c r="F124" s="19">
        <f>'Model inputs'!F91*'Model inputs'!O142</f>
        <v>687.700416</v>
      </c>
      <c r="G124" s="19">
        <f>'Model inputs'!G91*'Model inputs'!O142</f>
        <v>706.43839104</v>
      </c>
      <c r="H124" s="19">
        <f>'Model inputs'!H91*'Model inputs'!O142</f>
        <v>724.0520875776</v>
      </c>
      <c r="I124" s="19">
        <f>'Model inputs'!I91*'Model inputs'!O142</f>
        <v>740.608962322944</v>
      </c>
      <c r="J124" s="19">
        <f>'Model inputs'!J91*'Model inputs'!O142</f>
        <v>756.1724245835672</v>
      </c>
      <c r="K124" s="19">
        <f>'Model inputs'!K91*'Model inputs'!O142</f>
        <v>770.8020791085532</v>
      </c>
      <c r="L124" s="19">
        <f>'Model inputs'!L91*'Model inputs'!O142</f>
        <v>784.55395436204</v>
      </c>
      <c r="M124" s="19">
        <f>'Model inputs'!M91*'Model inputs'!O142</f>
        <v>797.4807171003176</v>
      </c>
      <c r="N124" s="19">
        <f>'Model inputs'!N91*'Model inputs'!O142</f>
        <v>809.6318740742986</v>
      </c>
    </row>
    <row r="125" outlineLevel="1">
      <c r="A125" t="inlineStr" s="13">
        <is>
          <t xml:space="preserve">Stories delivered &gt; Household</t>
        </is>
      </c>
      <c r="B125" s="19">
        <f>'Model inputs'!B122</f>
        <v>0</v>
      </c>
      <c r="C125" s="19">
        <f>'Model inputs'!C92*'Model inputs'!O143</f>
        <v>302.4</v>
      </c>
      <c r="D125" s="19">
        <f>'Model inputs'!D92*'Model inputs'!O143</f>
        <v>314.64</v>
      </c>
      <c r="E125" s="19">
        <f>'Model inputs'!E92*'Model inputs'!O143</f>
        <v>325.044</v>
      </c>
      <c r="F125" s="19">
        <f>'Model inputs'!F92*'Model inputs'!O143</f>
        <v>333.8874</v>
      </c>
      <c r="G125" s="19">
        <f>'Model inputs'!G92*'Model inputs'!O143</f>
        <v>341.40429</v>
      </c>
      <c r="H125" s="19">
        <f>'Model inputs'!H92*'Model inputs'!O143</f>
        <v>347.7936465</v>
      </c>
      <c r="I125" s="19">
        <f>'Model inputs'!I92*'Model inputs'!O143</f>
        <v>353.22459952500003</v>
      </c>
      <c r="J125" s="19">
        <f>'Model inputs'!J92*'Model inputs'!O143</f>
        <v>357.84090959625</v>
      </c>
      <c r="K125" s="19">
        <f>'Model inputs'!K92*'Model inputs'!O143</f>
        <v>361.7647731568125</v>
      </c>
      <c r="L125" s="19">
        <f>'Model inputs'!L92*'Model inputs'!O143</f>
        <v>365.10005718329063</v>
      </c>
      <c r="M125" s="19">
        <f>'Model inputs'!M92*'Model inputs'!O143</f>
        <v>367.935048605797</v>
      </c>
      <c r="N125" s="19">
        <f>'Model inputs'!N92*'Model inputs'!O143</f>
        <v>370.3447913149275</v>
      </c>
    </row>
    <row r="126">
      <c r="A126" t="inlineStr" s="12">
        <is>
          <t xml:space="preserve">Stories delivered</t>
        </is>
      </c>
      <c r="B126" s="18">
        <f>SUM('Model inputs'!B127,'Model inputs'!B128)</f>
        <v>0</v>
      </c>
      <c r="C126" s="18">
        <f>SUM('Model inputs'!C127,'Model inputs'!C128)</f>
        <v>1618.06</v>
      </c>
      <c r="D126" s="18">
        <f>SUM('Model inputs'!D127,'Model inputs'!D128)</f>
        <v>1960.7902</v>
      </c>
      <c r="E126" s="18">
        <f>SUM('Model inputs'!E127,'Model inputs'!E128)</f>
        <v>2287.2327339999997</v>
      </c>
      <c r="F126" s="18">
        <f>SUM('Model inputs'!F127,'Model inputs'!F128)</f>
        <v>2598.35669278</v>
      </c>
      <c r="G126" s="18">
        <f>SUM('Model inputs'!G127,'Model inputs'!G128)</f>
        <v>2895.0636575326</v>
      </c>
      <c r="H126" s="18">
        <f>SUM('Model inputs'!H127,'Model inputs'!H128)</f>
        <v>3178.1928000997423</v>
      </c>
      <c r="I126" s="18">
        <f>SUM('Model inputs'!I127,'Model inputs'!I128)</f>
        <v>3448.52558420642</v>
      </c>
      <c r="J126" s="18">
        <f>SUM('Model inputs'!J127,'Model inputs'!J128)</f>
        <v>3706.790099341124</v>
      </c>
      <c r="K126" s="18">
        <f>SUM('Model inputs'!K127,'Model inputs'!K128)</f>
        <v>3953.665056408915</v>
      </c>
      <c r="L126" s="18">
        <f>SUM('Model inputs'!L127,'Model inputs'!L128)</f>
        <v>4189.783471960831</v>
      </c>
      <c r="M126" s="18">
        <f>SUM('Model inputs'!M127,'Model inputs'!M128)</f>
        <v>4415.736065666654</v>
      </c>
      <c r="N126" s="18">
        <f>SUM('Model inputs'!N127,'Model inputs'!N128)</f>
        <v>4632.074393732131</v>
      </c>
    </row>
    <row r="127" outlineLevel="1">
      <c r="A127" t="inlineStr" s="13">
        <is>
          <t xml:space="preserve">Stories delivered &gt; Classroom</t>
        </is>
      </c>
      <c r="B127" s="19">
        <f>'Model inputs'!B121</f>
        <v>0</v>
      </c>
      <c r="C127" s="19">
        <f>'Model inputs'!C94*'Model inputs'!O145</f>
        <v>1079.5</v>
      </c>
      <c r="D127" s="19">
        <f>'Model inputs'!D94*'Model inputs'!O145</f>
        <v>1302.115</v>
      </c>
      <c r="E127" s="19">
        <f>'Model inputs'!E94*'Model inputs'!O145</f>
        <v>1518.05155</v>
      </c>
      <c r="F127" s="19">
        <f>'Model inputs'!F94*'Model inputs'!O145</f>
        <v>1727.5100034999998</v>
      </c>
      <c r="G127" s="19">
        <f>'Model inputs'!G94*'Model inputs'!O145</f>
        <v>1930.6847033949998</v>
      </c>
      <c r="H127" s="19">
        <f>'Model inputs'!H94*'Model inputs'!O145</f>
        <v>2127.76416229315</v>
      </c>
      <c r="I127" s="19">
        <f>'Model inputs'!I94*'Model inputs'!O145</f>
        <v>2318.9312374243555</v>
      </c>
      <c r="J127" s="19">
        <f>'Model inputs'!J94*'Model inputs'!O145</f>
        <v>2504.363300301625</v>
      </c>
      <c r="K127" s="19">
        <f>'Model inputs'!K94*'Model inputs'!O145</f>
        <v>2684.232401292576</v>
      </c>
      <c r="L127" s="19">
        <f>'Model inputs'!L94*'Model inputs'!O145</f>
        <v>2858.7054292537987</v>
      </c>
      <c r="M127" s="19">
        <f>'Model inputs'!M94*'Model inputs'!O145</f>
        <v>3027.9442663761847</v>
      </c>
      <c r="N127" s="19">
        <f>'Model inputs'!N94*'Model inputs'!O145</f>
        <v>3192.105938384899</v>
      </c>
    </row>
    <row r="128" outlineLevel="1">
      <c r="A128" t="inlineStr" s="13">
        <is>
          <t xml:space="preserve">Stories delivered &gt; Household</t>
        </is>
      </c>
      <c r="B128" s="19">
        <f>'Model inputs'!B122</f>
        <v>0</v>
      </c>
      <c r="C128" s="19">
        <f>'Model inputs'!C95*'Model inputs'!O146</f>
        <v>538.56</v>
      </c>
      <c r="D128" s="19">
        <f>'Model inputs'!D95*'Model inputs'!O146</f>
        <v>658.6751999999999</v>
      </c>
      <c r="E128" s="19">
        <f>'Model inputs'!E95*'Model inputs'!O146</f>
        <v>769.1811839999999</v>
      </c>
      <c r="F128" s="19">
        <f>'Model inputs'!F95*'Model inputs'!O146</f>
        <v>870.8466892799999</v>
      </c>
      <c r="G128" s="19">
        <f>'Model inputs'!G95*'Model inputs'!O146</f>
        <v>964.3789541375999</v>
      </c>
      <c r="H128" s="19">
        <f>'Model inputs'!H95*'Model inputs'!O146</f>
        <v>1050.428637806592</v>
      </c>
      <c r="I128" s="19">
        <f>'Model inputs'!I95*'Model inputs'!O146</f>
        <v>1129.5943467820646</v>
      </c>
      <c r="J128" s="19">
        <f>'Model inputs'!J95*'Model inputs'!O146</f>
        <v>1202.4267990394994</v>
      </c>
      <c r="K128" s="19">
        <f>'Model inputs'!K95*'Model inputs'!O146</f>
        <v>1269.4326551163392</v>
      </c>
      <c r="L128" s="19">
        <f>'Model inputs'!L95*'Model inputs'!O146</f>
        <v>1331.078042707032</v>
      </c>
      <c r="M128" s="19">
        <f>'Model inputs'!M95*'Model inputs'!O146</f>
        <v>1387.7917992904695</v>
      </c>
      <c r="N128" s="19">
        <f>'Model inputs'!N95*'Model inputs'!O146</f>
        <v>1439.968455347232</v>
      </c>
    </row>
    <row r="129">
      <c r="A129" t="inlineStr" s="12">
        <is>
          <t xml:space="preserve">Stories included per month (assumed)</t>
        </is>
      </c>
      <c r="O129" s="18">
        <v>0</v>
      </c>
    </row>
    <row r="130" outlineLevel="1">
      <c r="A130" t="inlineStr" s="13">
        <is>
          <t xml:space="preserve">Stories included per month (assumed) &gt; Classroom</t>
        </is>
      </c>
      <c r="O130" s="19">
        <f>100</f>
        <v>100</v>
      </c>
    </row>
    <row r="131" outlineLevel="1">
      <c r="A131" t="inlineStr" s="13">
        <is>
          <t xml:space="preserve">Stories included per month (assumed) &gt; Household</t>
        </is>
      </c>
      <c r="O131" s="19">
        <f>12</f>
        <v>12</v>
      </c>
    </row>
    <row r="132">
      <c r="A132" t="inlineStr" s="12">
        <is>
          <t xml:space="preserve">Stories included per month (assumed)</t>
        </is>
      </c>
      <c r="O132" s="18">
        <v>0</v>
      </c>
    </row>
    <row r="133" outlineLevel="1">
      <c r="A133" t="inlineStr" s="13">
        <is>
          <t xml:space="preserve">Stories included per month (assumed) &gt; Classroom</t>
        </is>
      </c>
      <c r="O133" s="19">
        <f>'Model inputs'!O130</f>
        <v>100</v>
      </c>
    </row>
    <row r="134" outlineLevel="1">
      <c r="A134" t="inlineStr" s="13">
        <is>
          <t xml:space="preserve">Stories included per month (assumed) &gt; Household</t>
        </is>
      </c>
      <c r="O134" s="19">
        <f>'Model inputs'!O131</f>
        <v>12</v>
      </c>
    </row>
    <row r="135">
      <c r="A135" t="inlineStr" s="12">
        <is>
          <t xml:space="preserve">Stories included per month (assumed)</t>
        </is>
      </c>
      <c r="O135" s="18">
        <v>0</v>
      </c>
    </row>
    <row r="136" outlineLevel="1">
      <c r="A136" t="inlineStr" s="13">
        <is>
          <t xml:space="preserve">Stories included per month (assumed) &gt; Classroom</t>
        </is>
      </c>
      <c r="O136" s="19">
        <f>'Model inputs'!O130</f>
        <v>100</v>
      </c>
    </row>
    <row r="137" outlineLevel="1">
      <c r="A137" t="inlineStr" s="13">
        <is>
          <t xml:space="preserve">Stories included per month (assumed) &gt; Household</t>
        </is>
      </c>
      <c r="O137" s="19">
        <f>'Model inputs'!O131</f>
        <v>12</v>
      </c>
    </row>
    <row r="138">
      <c r="A138" t="inlineStr" s="12">
        <is>
          <t xml:space="preserve">Stories used per customer (derived)</t>
        </is>
      </c>
      <c r="O138" s="9">
        <f>'Model inputs'!O213*'Model inputs'!O129</f>
        <v>0</v>
      </c>
    </row>
    <row r="139" outlineLevel="1">
      <c r="A139" t="inlineStr" s="13">
        <is>
          <t xml:space="preserve">Stories used per customer (derived) &gt; Classroom</t>
        </is>
      </c>
      <c r="O139" s="15">
        <f>'Model inputs'!O214*'Model inputs'!O130</f>
        <v>60</v>
      </c>
    </row>
    <row r="140" outlineLevel="1">
      <c r="A140" t="inlineStr" s="13">
        <is>
          <t xml:space="preserve">Stories used per customer (derived) &gt; Household</t>
        </is>
      </c>
      <c r="O140" s="15">
        <f>'Model inputs'!O215*'Model inputs'!O131</f>
        <v>7.199999999999999</v>
      </c>
    </row>
    <row r="141">
      <c r="A141" t="inlineStr" s="12">
        <is>
          <t xml:space="preserve">Stories used per customer (derived)</t>
        </is>
      </c>
      <c r="O141" s="9">
        <f>'Model inputs'!O216*'Model inputs'!O132</f>
        <v>0</v>
      </c>
    </row>
    <row r="142" outlineLevel="1">
      <c r="A142" t="inlineStr" s="13">
        <is>
          <t xml:space="preserve">Stories used per customer (derived) &gt; Classroom</t>
        </is>
      </c>
      <c r="O142" s="15">
        <f>'Model inputs'!O217*'Model inputs'!O133</f>
        <v>60</v>
      </c>
    </row>
    <row r="143" outlineLevel="1">
      <c r="A143" t="inlineStr" s="13">
        <is>
          <t xml:space="preserve">Stories used per customer (derived) &gt; Household</t>
        </is>
      </c>
      <c r="O143" s="15">
        <f>'Model inputs'!O218*'Model inputs'!O134</f>
        <v>7.199999999999999</v>
      </c>
    </row>
    <row r="144">
      <c r="A144" t="inlineStr" s="12">
        <is>
          <t xml:space="preserve">Stories used per customer (derived)</t>
        </is>
      </c>
      <c r="O144" s="9">
        <f>'Model inputs'!O219*'Model inputs'!O135</f>
        <v>0</v>
      </c>
    </row>
    <row r="145" outlineLevel="1">
      <c r="A145" t="inlineStr" s="13">
        <is>
          <t xml:space="preserve">Stories used per customer (derived) &gt; Classroom</t>
        </is>
      </c>
      <c r="O145" s="15">
        <f>'Model inputs'!O220*'Model inputs'!O136</f>
        <v>85</v>
      </c>
    </row>
    <row r="146" outlineLevel="1">
      <c r="A146" t="inlineStr" s="13">
        <is>
          <t xml:space="preserve">Stories used per customer (derived) &gt; Household</t>
        </is>
      </c>
      <c r="O146" s="15">
        <f>'Model inputs'!O221*'Model inputs'!O137</f>
        <v>10.2</v>
      </c>
    </row>
    <row r="147">
      <c r="A147" t="inlineStr" s="12">
        <is>
          <t xml:space="preserve">Churned customers</t>
        </is>
      </c>
      <c r="B147" s="9">
        <f>SUM('Model inputs'!B148,'Model inputs'!B149)</f>
        <v>0</v>
      </c>
      <c r="C147" s="9">
        <f>SUM('Model inputs'!C148,'Model inputs'!C149)</f>
        <v>3.5</v>
      </c>
      <c r="D147" s="9">
        <f>SUM('Model inputs'!D148,'Model inputs'!D149)</f>
        <v>3.9049999999999994</v>
      </c>
      <c r="E147" s="9">
        <f>SUM('Model inputs'!E148,'Model inputs'!E149)</f>
        <v>4.278649999999999</v>
      </c>
      <c r="F147" s="9">
        <f>SUM('Model inputs'!F148,'Model inputs'!F149)</f>
        <v>4.623426499999999</v>
      </c>
      <c r="G147" s="9">
        <f>SUM('Model inputs'!G148,'Model inputs'!G149)</f>
        <v>4.941608825</v>
      </c>
      <c r="H147" s="9">
        <f>SUM('Model inputs'!H148,'Model inputs'!H149)</f>
        <v>5.23529487065</v>
      </c>
      <c r="I147" s="9">
        <f>SUM('Model inputs'!I148,'Model inputs'!I149)</f>
        <v>5.5064155900984995</v>
      </c>
      <c r="J147" s="9">
        <f>SUM('Model inputs'!J148,'Model inputs'!J149)</f>
        <v>5.756748322718104</v>
      </c>
      <c r="K147" s="9">
        <f>SUM('Model inputs'!K148,'Model inputs'!K149)</f>
        <v>5.987929057333316</v>
      </c>
      <c r="L147" s="9">
        <f>SUM('Model inputs'!L148,'Model inputs'!L149)</f>
        <v>6.201463715166331</v>
      </c>
      <c r="M147" s="9">
        <f>SUM('Model inputs'!M148,'Model inputs'!M149)</f>
        <v>6.398738530900115</v>
      </c>
      <c r="N147" s="9">
        <f>SUM('Model inputs'!N148,'Model inputs'!N149)</f>
        <v>6.581029603986783</v>
      </c>
    </row>
    <row r="148" outlineLevel="1">
      <c r="A148" t="inlineStr" s="13">
        <is>
          <t xml:space="preserve">Churned customers &gt; Classroom</t>
        </is>
      </c>
      <c r="B148" s="15">
        <f>0</f>
        <v>0</v>
      </c>
      <c r="C148" s="15">
        <f>'Model inputs'!B88*'Model inputs'!O235</f>
        <v>0.3</v>
      </c>
      <c r="D148" s="15">
        <f>'Model inputs'!C88*'Model inputs'!O235</f>
        <v>0.32099999999999995</v>
      </c>
      <c r="E148" s="15">
        <f>'Model inputs'!D88*'Model inputs'!O235</f>
        <v>0.34136999999999995</v>
      </c>
      <c r="F148" s="15">
        <f>'Model inputs'!E88*'Model inputs'!O235</f>
        <v>0.3611289</v>
      </c>
      <c r="G148" s="15">
        <f>'Model inputs'!F88*'Model inputs'!O235</f>
        <v>0.38029503299999995</v>
      </c>
      <c r="H148" s="15">
        <f>'Model inputs'!G88*'Model inputs'!O235</f>
        <v>0.39888618201</v>
      </c>
      <c r="I148" s="15">
        <f>'Model inputs'!H88*'Model inputs'!O235</f>
        <v>0.4169195965497</v>
      </c>
      <c r="J148" s="15">
        <f>'Model inputs'!I88*'Model inputs'!O235</f>
        <v>0.434412008653209</v>
      </c>
      <c r="K148" s="15">
        <f>'Model inputs'!J88*'Model inputs'!O235</f>
        <v>0.4513796483936127</v>
      </c>
      <c r="L148" s="15">
        <f>'Model inputs'!K88*'Model inputs'!O235</f>
        <v>0.4678382589418043</v>
      </c>
      <c r="M148" s="15">
        <f>'Model inputs'!L88*'Model inputs'!O235</f>
        <v>0.4838031111735502</v>
      </c>
      <c r="N148" s="15">
        <f>'Model inputs'!M88*'Model inputs'!O235</f>
        <v>0.4992890178383437</v>
      </c>
    </row>
    <row r="149" outlineLevel="1">
      <c r="A149" t="inlineStr" s="13">
        <is>
          <t xml:space="preserve">Churned customers &gt; Household</t>
        </is>
      </c>
      <c r="B149" s="15">
        <f>0</f>
        <v>0</v>
      </c>
      <c r="C149" s="15">
        <f>'Model inputs'!B89*'Model inputs'!O236</f>
        <v>3.2</v>
      </c>
      <c r="D149" s="15">
        <f>'Model inputs'!C89*'Model inputs'!O236</f>
        <v>3.5839999999999996</v>
      </c>
      <c r="E149" s="15">
        <f>'Model inputs'!D89*'Model inputs'!O236</f>
        <v>3.9372799999999994</v>
      </c>
      <c r="F149" s="15">
        <f>'Model inputs'!E89*'Model inputs'!O236</f>
        <v>4.262297599999999</v>
      </c>
      <c r="G149" s="15">
        <f>'Model inputs'!F89*'Model inputs'!O236</f>
        <v>4.561313792</v>
      </c>
      <c r="H149" s="15">
        <f>'Model inputs'!G89*'Model inputs'!O236</f>
        <v>4.83640868864</v>
      </c>
      <c r="I149" s="15">
        <f>'Model inputs'!H89*'Model inputs'!O236</f>
        <v>5.089495993548799</v>
      </c>
      <c r="J149" s="15">
        <f>'Model inputs'!I89*'Model inputs'!O236</f>
        <v>5.322336314064895</v>
      </c>
      <c r="K149" s="15">
        <f>'Model inputs'!J89*'Model inputs'!O236</f>
        <v>5.536549408939703</v>
      </c>
      <c r="L149" s="15">
        <f>'Model inputs'!K89*'Model inputs'!O236</f>
        <v>5.733625456224527</v>
      </c>
      <c r="M149" s="15">
        <f>'Model inputs'!L89*'Model inputs'!O236</f>
        <v>5.9149354197265644</v>
      </c>
      <c r="N149" s="15">
        <f>'Model inputs'!M89*'Model inputs'!O236</f>
        <v>6.08174058614844</v>
      </c>
    </row>
    <row r="150">
      <c r="A150" t="inlineStr" s="12">
        <is>
          <t xml:space="preserve">Churned customers</t>
        </is>
      </c>
      <c r="B150" s="9">
        <f>SUM('Model inputs'!B151,'Model inputs'!B152)</f>
        <v>0</v>
      </c>
      <c r="C150" s="9">
        <f>SUM('Model inputs'!C151,'Model inputs'!C152)</f>
        <v>6.6</v>
      </c>
      <c r="D150" s="9">
        <f>SUM('Model inputs'!D151,'Model inputs'!D152)</f>
        <v>6.9239999999999995</v>
      </c>
      <c r="E150" s="9">
        <f>SUM('Model inputs'!E151,'Model inputs'!E152)</f>
        <v>7.201560000000001</v>
      </c>
      <c r="F150" s="9">
        <f>SUM('Model inputs'!F151,'Model inputs'!F152)</f>
        <v>7.4395164</v>
      </c>
      <c r="G150" s="9">
        <f>SUM('Model inputs'!G151,'Model inputs'!G152)</f>
        <v>7.643687916000001</v>
      </c>
      <c r="H150" s="9">
        <f>SUM('Model inputs'!H151,'Model inputs'!H152)</f>
        <v>7.8190277660400005</v>
      </c>
      <c r="I150" s="9">
        <f>SUM('Model inputs'!I151,'Model inputs'!I152)</f>
        <v>7.9697530563276</v>
      </c>
      <c r="J150" s="9">
        <f>SUM('Model inputs'!J151,'Model inputs'!J152)</f>
        <v>8.099454785760445</v>
      </c>
      <c r="K150" s="9">
        <f>SUM('Model inputs'!K151,'Model inputs'!K152)</f>
        <v>8.211191374505443</v>
      </c>
      <c r="L150" s="9">
        <f>SUM('Model inputs'!L151,'Model inputs'!L152)</f>
        <v>8.307568186542147</v>
      </c>
      <c r="M150" s="9">
        <f>SUM('Model inputs'!M151,'Model inputs'!M152)</f>
        <v>8.390805145680595</v>
      </c>
      <c r="N150" s="9">
        <f>SUM('Model inputs'!N151,'Model inputs'!N152)</f>
        <v>8.462794229721089</v>
      </c>
    </row>
    <row r="151" outlineLevel="1">
      <c r="A151" t="inlineStr" s="13">
        <is>
          <t xml:space="preserve">Churned customers &gt; Classroom</t>
        </is>
      </c>
      <c r="B151" s="15">
        <f>'Model inputs'!B148</f>
        <v>0</v>
      </c>
      <c r="C151" s="15">
        <f>'Model inputs'!B91*'Model inputs'!O238</f>
        <v>0.6</v>
      </c>
      <c r="D151" s="15">
        <f>'Model inputs'!C91*'Model inputs'!O238</f>
        <v>0.624</v>
      </c>
      <c r="E151" s="15">
        <f>'Model inputs'!D91*'Model inputs'!O238</f>
        <v>0.6465599999999999</v>
      </c>
      <c r="F151" s="15">
        <f>'Model inputs'!E91*'Model inputs'!O238</f>
        <v>0.6677664</v>
      </c>
      <c r="G151" s="15">
        <f>'Model inputs'!F91*'Model inputs'!O238</f>
        <v>0.687700416</v>
      </c>
      <c r="H151" s="15">
        <f>'Model inputs'!G91*'Model inputs'!O238</f>
        <v>0.7064383910400001</v>
      </c>
      <c r="I151" s="15">
        <f>'Model inputs'!H91*'Model inputs'!O238</f>
        <v>0.7240520875776</v>
      </c>
      <c r="J151" s="15">
        <f>'Model inputs'!I91*'Model inputs'!O238</f>
        <v>0.7406089623229439</v>
      </c>
      <c r="K151" s="15">
        <f>'Model inputs'!J91*'Model inputs'!O238</f>
        <v>0.7561724245835673</v>
      </c>
      <c r="L151" s="15">
        <f>'Model inputs'!K91*'Model inputs'!O238</f>
        <v>0.7708020791085531</v>
      </c>
      <c r="M151" s="15">
        <f>'Model inputs'!L91*'Model inputs'!O238</f>
        <v>0.78455395436204</v>
      </c>
      <c r="N151" s="15">
        <f>'Model inputs'!M91*'Model inputs'!O238</f>
        <v>0.7974807171003176</v>
      </c>
    </row>
    <row r="152" outlineLevel="1">
      <c r="A152" t="inlineStr" s="13">
        <is>
          <t xml:space="preserve">Churned customers &gt; Household</t>
        </is>
      </c>
      <c r="B152" s="15">
        <f>'Model inputs'!B149</f>
        <v>0</v>
      </c>
      <c r="C152" s="15">
        <f>'Model inputs'!B92*'Model inputs'!O239</f>
        <v>6</v>
      </c>
      <c r="D152" s="15">
        <f>'Model inputs'!C92*'Model inputs'!O239</f>
        <v>6.3</v>
      </c>
      <c r="E152" s="15">
        <f>'Model inputs'!D92*'Model inputs'!O239</f>
        <v>6.555000000000001</v>
      </c>
      <c r="F152" s="15">
        <f>'Model inputs'!E92*'Model inputs'!O239</f>
        <v>6.77175</v>
      </c>
      <c r="G152" s="15">
        <f>'Model inputs'!F92*'Model inputs'!O239</f>
        <v>6.955987500000001</v>
      </c>
      <c r="H152" s="15">
        <f>'Model inputs'!G92*'Model inputs'!O239</f>
        <v>7.112589375000001</v>
      </c>
      <c r="I152" s="15">
        <f>'Model inputs'!H92*'Model inputs'!O239</f>
        <v>7.2457009687500005</v>
      </c>
      <c r="J152" s="15">
        <f>'Model inputs'!I92*'Model inputs'!O239</f>
        <v>7.358845823437501</v>
      </c>
      <c r="K152" s="15">
        <f>'Model inputs'!J92*'Model inputs'!O239</f>
        <v>7.455018949921876</v>
      </c>
      <c r="L152" s="15">
        <f>'Model inputs'!K92*'Model inputs'!O239</f>
        <v>7.5367661074335945</v>
      </c>
      <c r="M152" s="15">
        <f>'Model inputs'!L92*'Model inputs'!O239</f>
        <v>7.606251191318555</v>
      </c>
      <c r="N152" s="15">
        <f>'Model inputs'!M92*'Model inputs'!O239</f>
        <v>7.665313512620772</v>
      </c>
    </row>
    <row r="153">
      <c r="A153" t="inlineStr" s="12">
        <is>
          <t xml:space="preserve">Churned customers</t>
        </is>
      </c>
      <c r="B153" s="9">
        <f>SUM('Model inputs'!B154,'Model inputs'!B155)</f>
        <v>0</v>
      </c>
      <c r="C153" s="9">
        <f>SUM('Model inputs'!C154,'Model inputs'!C155)</f>
        <v>3.5</v>
      </c>
      <c r="D153" s="9">
        <f>SUM('Model inputs'!D154,'Model inputs'!D155)</f>
        <v>4.605</v>
      </c>
      <c r="E153" s="9">
        <f>SUM('Model inputs'!E154,'Model inputs'!E155)</f>
        <v>5.62565</v>
      </c>
      <c r="F153" s="9">
        <f>SUM('Model inputs'!F154,'Model inputs'!F155)</f>
        <v>6.5685765</v>
      </c>
      <c r="G153" s="9">
        <f>SUM('Model inputs'!G154,'Model inputs'!G155)</f>
        <v>7.439879524999999</v>
      </c>
      <c r="H153" s="9">
        <f>SUM('Model inputs'!H154,'Model inputs'!H155)</f>
        <v>8.245174633649999</v>
      </c>
      <c r="I153" s="9">
        <f>SUM('Model inputs'!I154,'Model inputs'!I155)</f>
        <v>8.9896315694885</v>
      </c>
      <c r="J153" s="9">
        <f>SUM('Model inputs'!J154,'Model inputs'!J155)</f>
        <v>9.678009823264004</v>
      </c>
      <c r="K153" s="9">
        <f>SUM('Model inputs'!K154,'Model inputs'!K155)</f>
        <v>10.314691353357432</v>
      </c>
      <c r="L153" s="9">
        <f>SUM('Model inputs'!L154,'Model inputs'!L155)</f>
        <v>10.903710691564747</v>
      </c>
      <c r="M153" s="9">
        <f>SUM('Model inputs'!M154,'Model inputs'!M155)</f>
        <v>11.448782643321202</v>
      </c>
      <c r="N153" s="9">
        <f>SUM('Model inputs'!N154,'Model inputs'!N155)</f>
        <v>11.95332777472469</v>
      </c>
    </row>
    <row r="154" outlineLevel="1">
      <c r="A154" t="inlineStr" s="13">
        <is>
          <t xml:space="preserve">Churned customers &gt; Classroom</t>
        </is>
      </c>
      <c r="B154" s="15">
        <f>'Model inputs'!B148</f>
        <v>0</v>
      </c>
      <c r="C154" s="15">
        <f>'Model inputs'!B94*'Model inputs'!O241</f>
        <v>0.3</v>
      </c>
      <c r="D154" s="15">
        <f>'Model inputs'!C94*'Model inputs'!O241</f>
        <v>0.38099999999999995</v>
      </c>
      <c r="E154" s="15">
        <f>'Model inputs'!D94*'Model inputs'!O241</f>
        <v>0.45957</v>
      </c>
      <c r="F154" s="15">
        <f>'Model inputs'!E94*'Model inputs'!O241</f>
        <v>0.5357829</v>
      </c>
      <c r="G154" s="15">
        <f>'Model inputs'!F94*'Model inputs'!O241</f>
        <v>0.6097094129999999</v>
      </c>
      <c r="H154" s="15">
        <f>'Model inputs'!G94*'Model inputs'!O241</f>
        <v>0.6814181306099999</v>
      </c>
      <c r="I154" s="15">
        <f>'Model inputs'!H94*'Model inputs'!O241</f>
        <v>0.7509755866917</v>
      </c>
      <c r="J154" s="15">
        <f>'Model inputs'!I94*'Model inputs'!O241</f>
        <v>0.818446319090949</v>
      </c>
      <c r="K154" s="15">
        <f>'Model inputs'!J94*'Model inputs'!O241</f>
        <v>0.8838929295182205</v>
      </c>
      <c r="L154" s="15">
        <f>'Model inputs'!K94*'Model inputs'!O241</f>
        <v>0.9473761416326739</v>
      </c>
      <c r="M154" s="15">
        <f>'Model inputs'!L94*'Model inputs'!O241</f>
        <v>1.0089548573836935</v>
      </c>
      <c r="N154" s="15">
        <f>'Model inputs'!M94*'Model inputs'!O241</f>
        <v>1.0686862116621827</v>
      </c>
    </row>
    <row r="155" outlineLevel="1">
      <c r="A155" t="inlineStr" s="13">
        <is>
          <t xml:space="preserve">Churned customers &gt; Household</t>
        </is>
      </c>
      <c r="B155" s="15">
        <f>'Model inputs'!B149</f>
        <v>0</v>
      </c>
      <c r="C155" s="15">
        <f>'Model inputs'!B95*'Model inputs'!O242</f>
        <v>3.2</v>
      </c>
      <c r="D155" s="15">
        <f>'Model inputs'!C95*'Model inputs'!O242</f>
        <v>4.224</v>
      </c>
      <c r="E155" s="15">
        <f>'Model inputs'!D95*'Model inputs'!O242</f>
        <v>5.16608</v>
      </c>
      <c r="F155" s="15">
        <f>'Model inputs'!E95*'Model inputs'!O242</f>
        <v>6.0327936</v>
      </c>
      <c r="G155" s="15">
        <f>'Model inputs'!F95*'Model inputs'!O242</f>
        <v>6.830170111999999</v>
      </c>
      <c r="H155" s="15">
        <f>'Model inputs'!G95*'Model inputs'!O242</f>
        <v>7.56375650304</v>
      </c>
      <c r="I155" s="15">
        <f>'Model inputs'!H95*'Model inputs'!O242</f>
        <v>8.2386559827968</v>
      </c>
      <c r="J155" s="15">
        <f>'Model inputs'!I95*'Model inputs'!O242</f>
        <v>8.859563504173055</v>
      </c>
      <c r="K155" s="15">
        <f>'Model inputs'!J95*'Model inputs'!O242</f>
        <v>9.430798423839212</v>
      </c>
      <c r="L155" s="15">
        <f>'Model inputs'!K95*'Model inputs'!O242</f>
        <v>9.956334549932073</v>
      </c>
      <c r="M155" s="15">
        <f>'Model inputs'!L95*'Model inputs'!O242</f>
        <v>10.439827785937508</v>
      </c>
      <c r="N155" s="15">
        <f>'Model inputs'!M95*'Model inputs'!O242</f>
        <v>10.884641563062507</v>
      </c>
    </row>
    <row r="156">
      <c r="A156" t="inlineStr" s="12">
        <is>
          <t xml:space="preserve">neatlogs covered by hackathon credits (1 = yes, assumed) · neatlogs bill (USD, derived) · Main Scenario · Main Scenario</t>
        </is>
      </c>
      <c r="O156" s="19">
        <f>1</f>
        <v>1</v>
      </c>
    </row>
    <row r="157">
      <c r="A157" t="inlineStr" s="12">
        <is>
          <t xml:space="preserve">neatlogs covered by hackathon credits (1 = yes, assumed) · neatlogs bill (USD, derived) · Downside · Downside</t>
        </is>
      </c>
      <c r="O157" s="19">
        <f>'Model inputs'!O156</f>
        <v>1</v>
      </c>
    </row>
    <row r="158">
      <c r="A158" t="inlineStr" s="12">
        <is>
          <t xml:space="preserve">neatlogs covered by hackathon credits (1 = yes, assumed) · neatlogs bill (USD, derived) · Growth · Growth</t>
        </is>
      </c>
      <c r="O158" s="19">
        <f>'Model inputs'!O156</f>
        <v>1</v>
      </c>
    </row>
    <row r="159">
      <c r="A159" t="inlineStr" s="12">
        <is>
          <t xml:space="preserve">neatlogs Free plan span cap (published price, unverified for credits) · neatlogs bill (USD, derived) · Main Scenario · Main Scenario</t>
        </is>
      </c>
      <c r="O159" s="19">
        <f>100000</f>
        <v>100000</v>
      </c>
    </row>
    <row r="160">
      <c r="A160" t="inlineStr" s="12">
        <is>
          <t xml:space="preserve">neatlogs Free plan span cap (published price, unverified for credits) · neatlogs bill (USD, derived) · Downside · Downside</t>
        </is>
      </c>
      <c r="O160" s="19">
        <f>'Model inputs'!O159</f>
        <v>100000</v>
      </c>
    </row>
    <row r="161">
      <c r="A161" t="inlineStr" s="12">
        <is>
          <t xml:space="preserve">neatlogs Free plan span cap (published price, unverified for credits) · neatlogs bill (USD, derived) · Growth · Growth</t>
        </is>
      </c>
      <c r="O161" s="19">
        <f>'Model inputs'!O159</f>
        <v>100000</v>
      </c>
    </row>
    <row r="162">
      <c r="A162" t="inlineStr" s="12">
        <is>
          <t xml:space="preserve">neatlogs price per extra 100k spans (USD, published price) · neatlogs bill (USD, derived) · Main Scenario · Main Scenario</t>
        </is>
      </c>
      <c r="O162" s="8">
        <f>10</f>
        <v>10</v>
      </c>
    </row>
    <row r="163">
      <c r="A163" t="inlineStr" s="12">
        <is>
          <t xml:space="preserve">neatlogs price per extra 100k spans (USD, published price) · neatlogs bill (USD, derived) · Downside · Downside</t>
        </is>
      </c>
      <c r="O163" s="8">
        <f>'Model inputs'!O162</f>
        <v>10</v>
      </c>
    </row>
    <row r="164">
      <c r="A164" t="inlineStr" s="12">
        <is>
          <t xml:space="preserve">neatlogs price per extra 100k spans (USD, published price) · neatlogs bill (USD, derived) · Growth · Growth</t>
        </is>
      </c>
      <c r="O164" s="8">
        <f>'Model inputs'!O162</f>
        <v>10</v>
      </c>
    </row>
    <row r="165">
      <c r="A165" t="inlineStr" s="12">
        <is>
          <t xml:space="preserve">neatlogs Starter plan included spans (published price) · neatlogs bill (USD, derived) · Main Scenario · Main Scenario</t>
        </is>
      </c>
      <c r="O165" s="19">
        <f>250000</f>
        <v>250000</v>
      </c>
    </row>
    <row r="166">
      <c r="A166" t="inlineStr" s="12">
        <is>
          <t xml:space="preserve">neatlogs Starter plan included spans (published price) · neatlogs bill (USD, derived) · Downside · Downside</t>
        </is>
      </c>
      <c r="O166" s="19">
        <f>'Model inputs'!O165</f>
        <v>250000</v>
      </c>
    </row>
    <row r="167">
      <c r="A167" t="inlineStr" s="12">
        <is>
          <t xml:space="preserve">neatlogs Starter plan included spans (published price) · neatlogs bill (USD, derived) · Growth · Growth</t>
        </is>
      </c>
      <c r="O167" s="19">
        <f>'Model inputs'!O165</f>
        <v>250000</v>
      </c>
    </row>
    <row r="168">
      <c r="A168" t="inlineStr" s="12">
        <is>
          <t xml:space="preserve">neatlogs Starter plan price per month (USD, published price) · neatlogs bill (USD, derived) · Main Scenario · Main Scenario</t>
        </is>
      </c>
      <c r="O168" s="8">
        <f>99</f>
        <v>99</v>
      </c>
    </row>
    <row r="169">
      <c r="A169" t="inlineStr" s="12">
        <is>
          <t xml:space="preserve">neatlogs Starter plan price per month (USD, published price) · neatlogs bill (USD, derived) · Downside · Downside</t>
        </is>
      </c>
      <c r="O169" s="8">
        <f>'Model inputs'!O168</f>
        <v>99</v>
      </c>
    </row>
    <row r="170">
      <c r="A170" t="inlineStr" s="12">
        <is>
          <t xml:space="preserve">neatlogs Starter plan price per month (USD, published price) · neatlogs bill (USD, derived) · Growth · Growth</t>
        </is>
      </c>
      <c r="O170" s="8">
        <f>'Model inputs'!O168</f>
        <v>99</v>
      </c>
    </row>
    <row r="171">
      <c r="A171" t="inlineStr" s="12">
        <is>
          <t xml:space="preserve">New customers</t>
        </is>
      </c>
      <c r="B171" s="9">
        <f>SUM('Model inputs'!B172,'Model inputs'!B173)</f>
        <v>0</v>
      </c>
      <c r="C171" s="9">
        <f>SUM('Model inputs'!C172,'Model inputs'!C173)</f>
        <v>9</v>
      </c>
      <c r="D171" s="9">
        <f>SUM('Model inputs'!D172,'Model inputs'!D173)</f>
        <v>9</v>
      </c>
      <c r="E171" s="9">
        <f>SUM('Model inputs'!E172,'Model inputs'!E173)</f>
        <v>9</v>
      </c>
      <c r="F171" s="9">
        <f>SUM('Model inputs'!F172,'Model inputs'!F173)</f>
        <v>9</v>
      </c>
      <c r="G171" s="9">
        <f>SUM('Model inputs'!G172,'Model inputs'!G173)</f>
        <v>9</v>
      </c>
      <c r="H171" s="9">
        <f>SUM('Model inputs'!H172,'Model inputs'!H173)</f>
        <v>9</v>
      </c>
      <c r="I171" s="9">
        <f>SUM('Model inputs'!I172,'Model inputs'!I173)</f>
        <v>9</v>
      </c>
      <c r="J171" s="9">
        <f>SUM('Model inputs'!J172,'Model inputs'!J173)</f>
        <v>9</v>
      </c>
      <c r="K171" s="9">
        <f>SUM('Model inputs'!K172,'Model inputs'!K173)</f>
        <v>9</v>
      </c>
      <c r="L171" s="9">
        <f>SUM('Model inputs'!L172,'Model inputs'!L173)</f>
        <v>9</v>
      </c>
      <c r="M171" s="9">
        <f>SUM('Model inputs'!M172,'Model inputs'!M173)</f>
        <v>9</v>
      </c>
      <c r="N171" s="9">
        <f>SUM('Model inputs'!N172,'Model inputs'!N173)</f>
        <v>9</v>
      </c>
    </row>
    <row r="172" outlineLevel="1">
      <c r="A172" t="inlineStr" s="13">
        <is>
          <t xml:space="preserve">New customers &gt; Classroom</t>
        </is>
      </c>
      <c r="B172" s="15">
        <f>0</f>
        <v>0</v>
      </c>
      <c r="C172" s="15">
        <f>IF('Model inputs'!O244="","",'Model inputs'!O244)</f>
        <v>1</v>
      </c>
      <c r="D172" s="15">
        <f>IF('Model inputs'!O244="","",'Model inputs'!O244)</f>
        <v>1</v>
      </c>
      <c r="E172" s="15">
        <f>IF('Model inputs'!O244="","",'Model inputs'!O244)</f>
        <v>1</v>
      </c>
      <c r="F172" s="15">
        <f>IF('Model inputs'!O244="","",'Model inputs'!O244)</f>
        <v>1</v>
      </c>
      <c r="G172" s="15">
        <f>IF('Model inputs'!O244="","",'Model inputs'!O244)</f>
        <v>1</v>
      </c>
      <c r="H172" s="15">
        <f>IF('Model inputs'!O244="","",'Model inputs'!O244)</f>
        <v>1</v>
      </c>
      <c r="I172" s="15">
        <f>IF('Model inputs'!O244="","",'Model inputs'!O244)</f>
        <v>1</v>
      </c>
      <c r="J172" s="15">
        <f>IF('Model inputs'!O244="","",'Model inputs'!O244)</f>
        <v>1</v>
      </c>
      <c r="K172" s="15">
        <f>IF('Model inputs'!O244="","",'Model inputs'!O244)</f>
        <v>1</v>
      </c>
      <c r="L172" s="15">
        <f>IF('Model inputs'!O244="","",'Model inputs'!O244)</f>
        <v>1</v>
      </c>
      <c r="M172" s="15">
        <f>IF('Model inputs'!O244="","",'Model inputs'!O244)</f>
        <v>1</v>
      </c>
      <c r="N172" s="15">
        <f>IF('Model inputs'!O244="","",'Model inputs'!O244)</f>
        <v>1</v>
      </c>
    </row>
    <row r="173" outlineLevel="1">
      <c r="A173" t="inlineStr" s="13">
        <is>
          <t xml:space="preserve">New customers &gt; Household</t>
        </is>
      </c>
      <c r="B173" s="15">
        <f>0</f>
        <v>0</v>
      </c>
      <c r="C173" s="15">
        <f>IF('Model inputs'!O245="","",'Model inputs'!O245)</f>
        <v>8</v>
      </c>
      <c r="D173" s="15">
        <f>IF('Model inputs'!O245="","",'Model inputs'!O245)</f>
        <v>8</v>
      </c>
      <c r="E173" s="15">
        <f>IF('Model inputs'!O245="","",'Model inputs'!O245)</f>
        <v>8</v>
      </c>
      <c r="F173" s="15">
        <f>IF('Model inputs'!O245="","",'Model inputs'!O245)</f>
        <v>8</v>
      </c>
      <c r="G173" s="15">
        <f>IF('Model inputs'!O245="","",'Model inputs'!O245)</f>
        <v>8</v>
      </c>
      <c r="H173" s="15">
        <f>IF('Model inputs'!O245="","",'Model inputs'!O245)</f>
        <v>8</v>
      </c>
      <c r="I173" s="15">
        <f>IF('Model inputs'!O245="","",'Model inputs'!O245)</f>
        <v>8</v>
      </c>
      <c r="J173" s="15">
        <f>IF('Model inputs'!O245="","",'Model inputs'!O245)</f>
        <v>8</v>
      </c>
      <c r="K173" s="15">
        <f>IF('Model inputs'!O245="","",'Model inputs'!O245)</f>
        <v>8</v>
      </c>
      <c r="L173" s="15">
        <f>IF('Model inputs'!O245="","",'Model inputs'!O245)</f>
        <v>8</v>
      </c>
      <c r="M173" s="15">
        <f>IF('Model inputs'!O245="","",'Model inputs'!O245)</f>
        <v>8</v>
      </c>
      <c r="N173" s="15">
        <f>IF('Model inputs'!O245="","",'Model inputs'!O245)</f>
        <v>8</v>
      </c>
    </row>
    <row r="174">
      <c r="A174" t="inlineStr" s="12">
        <is>
          <t xml:space="preserve">New customers</t>
        </is>
      </c>
      <c r="B174" s="9">
        <f>SUM('Model inputs'!B175,'Model inputs'!B176)</f>
        <v>0</v>
      </c>
      <c r="C174" s="9">
        <f>SUM('Model inputs'!C175,'Model inputs'!C176)</f>
        <v>9</v>
      </c>
      <c r="D174" s="9">
        <f>SUM('Model inputs'!D175,'Model inputs'!D176)</f>
        <v>9</v>
      </c>
      <c r="E174" s="9">
        <f>SUM('Model inputs'!E175,'Model inputs'!E176)</f>
        <v>9</v>
      </c>
      <c r="F174" s="9">
        <f>SUM('Model inputs'!F175,'Model inputs'!F176)</f>
        <v>9</v>
      </c>
      <c r="G174" s="9">
        <f>SUM('Model inputs'!G175,'Model inputs'!G176)</f>
        <v>9</v>
      </c>
      <c r="H174" s="9">
        <f>SUM('Model inputs'!H175,'Model inputs'!H176)</f>
        <v>9</v>
      </c>
      <c r="I174" s="9">
        <f>SUM('Model inputs'!I175,'Model inputs'!I176)</f>
        <v>9</v>
      </c>
      <c r="J174" s="9">
        <f>SUM('Model inputs'!J175,'Model inputs'!J176)</f>
        <v>9</v>
      </c>
      <c r="K174" s="9">
        <f>SUM('Model inputs'!K175,'Model inputs'!K176)</f>
        <v>9</v>
      </c>
      <c r="L174" s="9">
        <f>SUM('Model inputs'!L175,'Model inputs'!L176)</f>
        <v>9</v>
      </c>
      <c r="M174" s="9">
        <f>SUM('Model inputs'!M175,'Model inputs'!M176)</f>
        <v>9</v>
      </c>
      <c r="N174" s="9">
        <f>SUM('Model inputs'!N175,'Model inputs'!N176)</f>
        <v>9</v>
      </c>
    </row>
    <row r="175" outlineLevel="1">
      <c r="A175" t="inlineStr" s="13">
        <is>
          <t xml:space="preserve">New customers &gt; Classroom</t>
        </is>
      </c>
      <c r="B175" s="15">
        <f>'Model inputs'!B172</f>
        <v>0</v>
      </c>
      <c r="C175" s="15">
        <f>IF('Model inputs'!O247="","",'Model inputs'!O247)</f>
        <v>1</v>
      </c>
      <c r="D175" s="15">
        <f>IF('Model inputs'!O247="","",'Model inputs'!O247)</f>
        <v>1</v>
      </c>
      <c r="E175" s="15">
        <f>IF('Model inputs'!O247="","",'Model inputs'!O247)</f>
        <v>1</v>
      </c>
      <c r="F175" s="15">
        <f>IF('Model inputs'!O247="","",'Model inputs'!O247)</f>
        <v>1</v>
      </c>
      <c r="G175" s="15">
        <f>IF('Model inputs'!O247="","",'Model inputs'!O247)</f>
        <v>1</v>
      </c>
      <c r="H175" s="15">
        <f>IF('Model inputs'!O247="","",'Model inputs'!O247)</f>
        <v>1</v>
      </c>
      <c r="I175" s="15">
        <f>IF('Model inputs'!O247="","",'Model inputs'!O247)</f>
        <v>1</v>
      </c>
      <c r="J175" s="15">
        <f>IF('Model inputs'!O247="","",'Model inputs'!O247)</f>
        <v>1</v>
      </c>
      <c r="K175" s="15">
        <f>IF('Model inputs'!O247="","",'Model inputs'!O247)</f>
        <v>1</v>
      </c>
      <c r="L175" s="15">
        <f>IF('Model inputs'!O247="","",'Model inputs'!O247)</f>
        <v>1</v>
      </c>
      <c r="M175" s="15">
        <f>IF('Model inputs'!O247="","",'Model inputs'!O247)</f>
        <v>1</v>
      </c>
      <c r="N175" s="15">
        <f>IF('Model inputs'!O247="","",'Model inputs'!O247)</f>
        <v>1</v>
      </c>
    </row>
    <row r="176" outlineLevel="1">
      <c r="A176" t="inlineStr" s="13">
        <is>
          <t xml:space="preserve">New customers &gt; Household</t>
        </is>
      </c>
      <c r="B176" s="15">
        <f>'Model inputs'!B173</f>
        <v>0</v>
      </c>
      <c r="C176" s="15">
        <f>IF('Model inputs'!O248="","",'Model inputs'!O248)</f>
        <v>8</v>
      </c>
      <c r="D176" s="15">
        <f>IF('Model inputs'!O248="","",'Model inputs'!O248)</f>
        <v>8</v>
      </c>
      <c r="E176" s="15">
        <f>IF('Model inputs'!O248="","",'Model inputs'!O248)</f>
        <v>8</v>
      </c>
      <c r="F176" s="15">
        <f>IF('Model inputs'!O248="","",'Model inputs'!O248)</f>
        <v>8</v>
      </c>
      <c r="G176" s="15">
        <f>IF('Model inputs'!O248="","",'Model inputs'!O248)</f>
        <v>8</v>
      </c>
      <c r="H176" s="15">
        <f>IF('Model inputs'!O248="","",'Model inputs'!O248)</f>
        <v>8</v>
      </c>
      <c r="I176" s="15">
        <f>IF('Model inputs'!O248="","",'Model inputs'!O248)</f>
        <v>8</v>
      </c>
      <c r="J176" s="15">
        <f>IF('Model inputs'!O248="","",'Model inputs'!O248)</f>
        <v>8</v>
      </c>
      <c r="K176" s="15">
        <f>IF('Model inputs'!O248="","",'Model inputs'!O248)</f>
        <v>8</v>
      </c>
      <c r="L176" s="15">
        <f>IF('Model inputs'!O248="","",'Model inputs'!O248)</f>
        <v>8</v>
      </c>
      <c r="M176" s="15">
        <f>IF('Model inputs'!O248="","",'Model inputs'!O248)</f>
        <v>8</v>
      </c>
      <c r="N176" s="15">
        <f>IF('Model inputs'!O248="","",'Model inputs'!O248)</f>
        <v>8</v>
      </c>
    </row>
    <row r="177">
      <c r="A177" t="inlineStr" s="12">
        <is>
          <t xml:space="preserve">New customers</t>
        </is>
      </c>
      <c r="B177" s="9">
        <f>SUM('Model inputs'!B178,'Model inputs'!B179)</f>
        <v>0</v>
      </c>
      <c r="C177" s="9">
        <f>SUM('Model inputs'!C178,'Model inputs'!C179)</f>
        <v>19</v>
      </c>
      <c r="D177" s="9">
        <f>SUM('Model inputs'!D178,'Model inputs'!D179)</f>
        <v>19</v>
      </c>
      <c r="E177" s="9">
        <f>SUM('Model inputs'!E178,'Model inputs'!E179)</f>
        <v>19</v>
      </c>
      <c r="F177" s="9">
        <f>SUM('Model inputs'!F178,'Model inputs'!F179)</f>
        <v>19</v>
      </c>
      <c r="G177" s="9">
        <f>SUM('Model inputs'!G178,'Model inputs'!G179)</f>
        <v>19</v>
      </c>
      <c r="H177" s="9">
        <f>SUM('Model inputs'!H178,'Model inputs'!H179)</f>
        <v>19</v>
      </c>
      <c r="I177" s="9">
        <f>SUM('Model inputs'!I178,'Model inputs'!I179)</f>
        <v>19</v>
      </c>
      <c r="J177" s="9">
        <f>SUM('Model inputs'!J178,'Model inputs'!J179)</f>
        <v>19</v>
      </c>
      <c r="K177" s="9">
        <f>SUM('Model inputs'!K178,'Model inputs'!K179)</f>
        <v>19</v>
      </c>
      <c r="L177" s="9">
        <f>SUM('Model inputs'!L178,'Model inputs'!L179)</f>
        <v>19</v>
      </c>
      <c r="M177" s="9">
        <f>SUM('Model inputs'!M178,'Model inputs'!M179)</f>
        <v>19</v>
      </c>
      <c r="N177" s="9">
        <f>SUM('Model inputs'!N178,'Model inputs'!N179)</f>
        <v>19</v>
      </c>
    </row>
    <row r="178" outlineLevel="1">
      <c r="A178" t="inlineStr" s="13">
        <is>
          <t xml:space="preserve">New customers &gt; Classroom</t>
        </is>
      </c>
      <c r="B178" s="15">
        <f>'Model inputs'!B172</f>
        <v>0</v>
      </c>
      <c r="C178" s="15">
        <f>IF('Model inputs'!O250="","",'Model inputs'!O250)</f>
        <v>3</v>
      </c>
      <c r="D178" s="15">
        <f>IF('Model inputs'!O250="","",'Model inputs'!O250)</f>
        <v>3</v>
      </c>
      <c r="E178" s="15">
        <f>IF('Model inputs'!O250="","",'Model inputs'!O250)</f>
        <v>3</v>
      </c>
      <c r="F178" s="15">
        <f>IF('Model inputs'!O250="","",'Model inputs'!O250)</f>
        <v>3</v>
      </c>
      <c r="G178" s="15">
        <f>IF('Model inputs'!O250="","",'Model inputs'!O250)</f>
        <v>3</v>
      </c>
      <c r="H178" s="15">
        <f>IF('Model inputs'!O250="","",'Model inputs'!O250)</f>
        <v>3</v>
      </c>
      <c r="I178" s="15">
        <f>IF('Model inputs'!O250="","",'Model inputs'!O250)</f>
        <v>3</v>
      </c>
      <c r="J178" s="15">
        <f>IF('Model inputs'!O250="","",'Model inputs'!O250)</f>
        <v>3</v>
      </c>
      <c r="K178" s="15">
        <f>IF('Model inputs'!O250="","",'Model inputs'!O250)</f>
        <v>3</v>
      </c>
      <c r="L178" s="15">
        <f>IF('Model inputs'!O250="","",'Model inputs'!O250)</f>
        <v>3</v>
      </c>
      <c r="M178" s="15">
        <f>IF('Model inputs'!O250="","",'Model inputs'!O250)</f>
        <v>3</v>
      </c>
      <c r="N178" s="15">
        <f>IF('Model inputs'!O250="","",'Model inputs'!O250)</f>
        <v>3</v>
      </c>
    </row>
    <row r="179" outlineLevel="1">
      <c r="A179" t="inlineStr" s="13">
        <is>
          <t xml:space="preserve">New customers &gt; Household</t>
        </is>
      </c>
      <c r="B179" s="15">
        <f>'Model inputs'!B173</f>
        <v>0</v>
      </c>
      <c r="C179" s="15">
        <f>IF('Model inputs'!O251="","",'Model inputs'!O251)</f>
        <v>16</v>
      </c>
      <c r="D179" s="15">
        <f>IF('Model inputs'!O251="","",'Model inputs'!O251)</f>
        <v>16</v>
      </c>
      <c r="E179" s="15">
        <f>IF('Model inputs'!O251="","",'Model inputs'!O251)</f>
        <v>16</v>
      </c>
      <c r="F179" s="15">
        <f>IF('Model inputs'!O251="","",'Model inputs'!O251)</f>
        <v>16</v>
      </c>
      <c r="G179" s="15">
        <f>IF('Model inputs'!O251="","",'Model inputs'!O251)</f>
        <v>16</v>
      </c>
      <c r="H179" s="15">
        <f>IF('Model inputs'!O251="","",'Model inputs'!O251)</f>
        <v>16</v>
      </c>
      <c r="I179" s="15">
        <f>IF('Model inputs'!O251="","",'Model inputs'!O251)</f>
        <v>16</v>
      </c>
      <c r="J179" s="15">
        <f>IF('Model inputs'!O251="","",'Model inputs'!O251)</f>
        <v>16</v>
      </c>
      <c r="K179" s="15">
        <f>IF('Model inputs'!O251="","",'Model inputs'!O251)</f>
        <v>16</v>
      </c>
      <c r="L179" s="15">
        <f>IF('Model inputs'!O251="","",'Model inputs'!O251)</f>
        <v>16</v>
      </c>
      <c r="M179" s="15">
        <f>IF('Model inputs'!O251="","",'Model inputs'!O251)</f>
        <v>16</v>
      </c>
      <c r="N179" s="15">
        <f>IF('Model inputs'!O251="","",'Model inputs'!O251)</f>
        <v>16</v>
      </c>
    </row>
    <row r="180">
      <c r="A180" t="inlineStr" s="12">
        <is>
          <t xml:space="preserve">Selected picture and narration cost (USD, derived)</t>
        </is>
      </c>
      <c r="O180" s="20">
        <f>'Model inputs'!O252*'Model inputs'!O222</f>
        <v>0</v>
      </c>
    </row>
    <row r="181" outlineLevel="1">
      <c r="A181" t="inlineStr" s="13">
        <is>
          <t xml:space="preserve">Selected picture and narration cost (USD, derived) &gt; Full (8 pictures)</t>
        </is>
      </c>
      <c r="O181" s="14">
        <f>'Model inputs'!O253*'Model inputs'!O223</f>
        <v>0</v>
      </c>
    </row>
    <row r="182" outlineLevel="1">
      <c r="A182" t="inlineStr" s="13">
        <is>
          <t xml:space="preserve">Selected picture and narration cost (USD, derived) &gt; Half (4 pictures)</t>
        </is>
      </c>
      <c r="O182" s="14">
        <f>'Model inputs'!O254*'Model inputs'!O224</f>
        <v>0.176</v>
      </c>
    </row>
    <row r="183" outlineLevel="1">
      <c r="A183" t="inlineStr" s="13">
        <is>
          <t xml:space="preserve">Selected picture and narration cost (USD, derived) &gt; Text only (0)</t>
        </is>
      </c>
      <c r="O183" s="14">
        <f>'Model inputs'!O255*'Model inputs'!O225</f>
        <v>0</v>
      </c>
    </row>
    <row r="184">
      <c r="A184" t="inlineStr" s="12">
        <is>
          <t xml:space="preserve">Selected picture and narration cost (USD, derived)</t>
        </is>
      </c>
      <c r="O184" s="20">
        <f>'Model inputs'!O256*'Model inputs'!O226</f>
        <v>0</v>
      </c>
    </row>
    <row r="185" outlineLevel="1">
      <c r="A185" t="inlineStr" s="13">
        <is>
          <t xml:space="preserve">Selected picture and narration cost (USD, derived) &gt; Full (8 pictures)</t>
        </is>
      </c>
      <c r="O185" s="14">
        <f>'Model inputs'!O257*'Model inputs'!O227</f>
        <v>0</v>
      </c>
    </row>
    <row r="186" outlineLevel="1">
      <c r="A186" t="inlineStr" s="13">
        <is>
          <t xml:space="preserve">Selected picture and narration cost (USD, derived) &gt; Half (4 pictures)</t>
        </is>
      </c>
      <c r="O186" s="14">
        <f>'Model inputs'!O258*'Model inputs'!O228</f>
        <v>0.336</v>
      </c>
    </row>
    <row r="187" outlineLevel="1">
      <c r="A187" t="inlineStr" s="13">
        <is>
          <t xml:space="preserve">Selected picture and narration cost (USD, derived) &gt; Text only (0)</t>
        </is>
      </c>
      <c r="O187" s="14">
        <f>'Model inputs'!O259*'Model inputs'!O229</f>
        <v>0</v>
      </c>
    </row>
    <row r="188">
      <c r="A188" t="inlineStr" s="12">
        <is>
          <t xml:space="preserve">Selected picture and narration cost (USD, derived)</t>
        </is>
      </c>
      <c r="O188" s="20">
        <f>'Model inputs'!O260*'Model inputs'!O230</f>
        <v>0</v>
      </c>
    </row>
    <row r="189" outlineLevel="1">
      <c r="A189" t="inlineStr" s="13">
        <is>
          <t xml:space="preserve">Selected picture and narration cost (USD, derived) &gt; Full (8 pictures)</t>
        </is>
      </c>
      <c r="O189" s="14">
        <f>'Model inputs'!O261*'Model inputs'!O231</f>
        <v>0</v>
      </c>
    </row>
    <row r="190" outlineLevel="1">
      <c r="A190" t="inlineStr" s="13">
        <is>
          <t xml:space="preserve">Selected picture and narration cost (USD, derived) &gt; Half (4 pictures)</t>
        </is>
      </c>
      <c r="O190" s="14">
        <f>'Model inputs'!O262*'Model inputs'!O232</f>
        <v>0.176</v>
      </c>
    </row>
    <row r="191" outlineLevel="1">
      <c r="A191" t="inlineStr" s="13">
        <is>
          <t xml:space="preserve">Selected picture and narration cost (USD, derived) &gt; Text only (0)</t>
        </is>
      </c>
      <c r="O191" s="14">
        <f>'Model inputs'!O263*'Model inputs'!O233</f>
        <v>0</v>
      </c>
    </row>
    <row r="192">
      <c r="A192" t="inlineStr" s="12">
        <is>
          <t xml:space="preserve">Selected text and verification cost (USD, derived)</t>
        </is>
      </c>
      <c r="O192" s="20">
        <f>'Model inputs'!O267*'Model inputs'!O276</f>
        <v>0</v>
      </c>
    </row>
    <row r="193" outlineLevel="1">
      <c r="A193" t="inlineStr" s="13">
        <is>
          <t xml:space="preserve">Selected text and verification cost (USD, derived) &gt; Sampled</t>
        </is>
      </c>
      <c r="O193" s="14">
        <f>'Model inputs'!O268*'Model inputs'!O277</f>
        <v>0</v>
      </c>
    </row>
    <row r="194" outlineLevel="1">
      <c r="A194" t="inlineStr" s="13">
        <is>
          <t xml:space="preserve">Selected text and verification cost (USD, derived) &gt; Verify all</t>
        </is>
      </c>
      <c r="O194" s="14">
        <f>'Model inputs'!O269*'Model inputs'!O278</f>
        <v>0.0199</v>
      </c>
    </row>
    <row r="195">
      <c r="A195" t="inlineStr" s="12">
        <is>
          <t xml:space="preserve">Selected text and verification cost (USD, derived)</t>
        </is>
      </c>
      <c r="O195" s="20">
        <f>'Model inputs'!O270*'Model inputs'!O279</f>
        <v>0</v>
      </c>
    </row>
    <row r="196" outlineLevel="1">
      <c r="A196" t="inlineStr" s="13">
        <is>
          <t xml:space="preserve">Selected text and verification cost (USD, derived) &gt; Sampled</t>
        </is>
      </c>
      <c r="O196" s="14">
        <f>'Model inputs'!O271*'Model inputs'!O280</f>
        <v>0</v>
      </c>
    </row>
    <row r="197" outlineLevel="1">
      <c r="A197" t="inlineStr" s="13">
        <is>
          <t xml:space="preserve">Selected text and verification cost (USD, derived) &gt; Verify all</t>
        </is>
      </c>
      <c r="O197" s="14">
        <f>'Model inputs'!O272*'Model inputs'!O281</f>
        <v>0.0199</v>
      </c>
    </row>
    <row r="198">
      <c r="A198" t="inlineStr" s="12">
        <is>
          <t xml:space="preserve">Selected text and verification cost (USD, derived)</t>
        </is>
      </c>
      <c r="O198" s="20">
        <f>'Model inputs'!O273*'Model inputs'!O282</f>
        <v>0</v>
      </c>
    </row>
    <row r="199" outlineLevel="1">
      <c r="A199" t="inlineStr" s="13">
        <is>
          <t xml:space="preserve">Selected text and verification cost (USD, derived) &gt; Sampled</t>
        </is>
      </c>
      <c r="O199" s="14">
        <f>'Model inputs'!O274*'Model inputs'!O283</f>
        <v>0</v>
      </c>
    </row>
    <row r="200" outlineLevel="1">
      <c r="A200" t="inlineStr" s="13">
        <is>
          <t xml:space="preserve">Selected text and verification cost (USD, derived) &gt; Verify all</t>
        </is>
      </c>
      <c r="O200" s="14">
        <f>'Model inputs'!O275*'Model inputs'!O284</f>
        <v>0.0199</v>
      </c>
    </row>
    <row r="201">
      <c r="A201" t="inlineStr" s="12">
        <is>
          <t xml:space="preserve">Spans per month (derived) · Main Scenario</t>
        </is>
      </c>
      <c r="B201" s="19">
        <v>0</v>
      </c>
      <c r="C201" s="19">
        <f>'Model inputs'!C120*'Model inputs'!O264</f>
        <v>144684</v>
      </c>
      <c r="D201" s="19">
        <f>'Model inputs'!D120*'Model inputs'!O264</f>
        <v>155564.28</v>
      </c>
      <c r="E201" s="19">
        <f>'Model inputs'!E120*'Model inputs'!O264</f>
        <v>165879.68759999998</v>
      </c>
      <c r="F201" s="19">
        <f>'Model inputs'!F120*'Model inputs'!O264</f>
        <v>175666.246092</v>
      </c>
      <c r="G201" s="19">
        <f>'Model inputs'!G120*'Model inputs'!O264</f>
        <v>184957.37189963998</v>
      </c>
      <c r="H201" s="19">
        <f>'Model inputs'!H120*'Model inputs'!O264</f>
        <v>193784.07487781878</v>
      </c>
      <c r="I201" s="19">
        <f>'Model inputs'!I120*'Model inputs'!O264</f>
        <v>202175.14283583878</v>
      </c>
      <c r="J201" s="19">
        <f>'Model inputs'!J120*'Model inputs'!O264</f>
        <v>210157.3115387698</v>
      </c>
      <c r="K201" s="19">
        <f>'Model inputs'!K120*'Model inputs'!O264</f>
        <v>217755.42134157236</v>
      </c>
      <c r="L201" s="19">
        <f>'Model inputs'!L120*'Model inputs'!O264</f>
        <v>224992.56151837367</v>
      </c>
      <c r="M201" s="19">
        <f>'Model inputs'!M120*'Model inputs'!O264</f>
        <v>231890.20326450703</v>
      </c>
      <c r="N201" s="19">
        <f>'Model inputs'!N120*'Model inputs'!O264</f>
        <v>238468.32227092158</v>
      </c>
    </row>
    <row r="202">
      <c r="A202" t="inlineStr" s="12">
        <is>
          <t xml:space="preserve">Spans per month (derived) · Downside</t>
        </is>
      </c>
      <c r="B202" s="19">
        <v>0</v>
      </c>
      <c r="C202" s="19">
        <f>'Model inputs'!C123*'Model inputs'!O265</f>
        <v>138960</v>
      </c>
      <c r="D202" s="19">
        <f>'Model inputs'!D123*'Model inputs'!O265</f>
        <v>144180</v>
      </c>
      <c r="E202" s="19">
        <f>'Model inputs'!E123*'Model inputs'!O265</f>
        <v>148921.56</v>
      </c>
      <c r="F202" s="19">
        <f>'Model inputs'!F123*'Model inputs'!O265</f>
        <v>153238.1724</v>
      </c>
      <c r="G202" s="19">
        <f>'Model inputs'!G123*'Model inputs'!O265</f>
        <v>157176.40215600003</v>
      </c>
      <c r="H202" s="19">
        <f>'Model inputs'!H123*'Model inputs'!O265</f>
        <v>160776.86011163998</v>
      </c>
      <c r="I202" s="19">
        <f>'Model inputs'!I123*'Model inputs'!O265</f>
        <v>164075.03427719162</v>
      </c>
      <c r="J202" s="19">
        <f>'Model inputs'!J123*'Model inputs'!O265</f>
        <v>167102.0001269726</v>
      </c>
      <c r="K202" s="19">
        <f>'Model inputs'!K123*'Model inputs'!O265</f>
        <v>169885.02783980485</v>
      </c>
      <c r="L202" s="19">
        <f>'Model inputs'!L123*'Model inputs'!O265</f>
        <v>172448.1017317996</v>
      </c>
      <c r="M202" s="19">
        <f>'Model inputs'!M123*'Model inputs'!O265</f>
        <v>174812.3648559172</v>
      </c>
      <c r="N202" s="19">
        <f>'Model inputs'!N123*'Model inputs'!O265</f>
        <v>176996.49980838393</v>
      </c>
    </row>
    <row r="203">
      <c r="A203" t="inlineStr" s="12">
        <is>
          <t xml:space="preserve">Spans per month (derived) · Growth</t>
        </is>
      </c>
      <c r="B203" s="19">
        <v>0</v>
      </c>
      <c r="C203" s="19">
        <f>'Model inputs'!C126*'Model inputs'!O266</f>
        <v>242709</v>
      </c>
      <c r="D203" s="19">
        <f>'Model inputs'!D126*'Model inputs'!O266</f>
        <v>294118.52999999997</v>
      </c>
      <c r="E203" s="19">
        <f>'Model inputs'!E126*'Model inputs'!O266</f>
        <v>343084.9101</v>
      </c>
      <c r="F203" s="19">
        <f>'Model inputs'!F126*'Model inputs'!O266</f>
        <v>389753.50391699997</v>
      </c>
      <c r="G203" s="19">
        <f>'Model inputs'!G126*'Model inputs'!O266</f>
        <v>434259.54862988996</v>
      </c>
      <c r="H203" s="19">
        <f>'Model inputs'!H126*'Model inputs'!O266</f>
        <v>476728.92001496133</v>
      </c>
      <c r="I203" s="19">
        <f>'Model inputs'!I126*'Model inputs'!O266</f>
        <v>517278.83763096295</v>
      </c>
      <c r="J203" s="19">
        <f>'Model inputs'!J126*'Model inputs'!O266</f>
        <v>556018.5149011686</v>
      </c>
      <c r="K203" s="19">
        <f>'Model inputs'!K126*'Model inputs'!O266</f>
        <v>593049.7584613373</v>
      </c>
      <c r="L203" s="19">
        <f>'Model inputs'!L126*'Model inputs'!O266</f>
        <v>628467.5207941246</v>
      </c>
      <c r="M203" s="19">
        <f>'Model inputs'!M126*'Model inputs'!O266</f>
        <v>662360.4098499981</v>
      </c>
      <c r="N203" s="19">
        <f>'Model inputs'!N126*'Model inputs'!O266</f>
        <v>694811.1590598196</v>
      </c>
    </row>
    <row r="204">
      <c r="A204" t="inlineStr" s="12">
        <is>
          <t xml:space="preserve">Starting customers (assumed)</t>
        </is>
      </c>
      <c r="O204" s="18">
        <v>0</v>
      </c>
    </row>
    <row r="205" outlineLevel="1">
      <c r="A205" t="inlineStr" s="13">
        <is>
          <t xml:space="preserve">Starting customers (assumed) &gt; Classroom</t>
        </is>
      </c>
      <c r="O205" s="19">
        <f>10</f>
        <v>10</v>
      </c>
    </row>
    <row r="206" outlineLevel="1">
      <c r="A206" t="inlineStr" s="13">
        <is>
          <t xml:space="preserve">Starting customers (assumed) &gt; Household</t>
        </is>
      </c>
      <c r="O206" s="19">
        <f>40</f>
        <v>40</v>
      </c>
    </row>
    <row r="207">
      <c r="A207" t="inlineStr" s="12">
        <is>
          <t xml:space="preserve">Starting customers (assumed)</t>
        </is>
      </c>
      <c r="O207" s="18">
        <v>0</v>
      </c>
    </row>
    <row r="208" outlineLevel="1">
      <c r="A208" t="inlineStr" s="13">
        <is>
          <t xml:space="preserve">Starting customers (assumed) &gt; Classroom</t>
        </is>
      </c>
      <c r="O208" s="19">
        <f>'Model inputs'!O205</f>
        <v>10</v>
      </c>
    </row>
    <row r="209" outlineLevel="1">
      <c r="A209" t="inlineStr" s="13">
        <is>
          <t xml:space="preserve">Starting customers (assumed) &gt; Household</t>
        </is>
      </c>
      <c r="O209" s="19">
        <f>'Model inputs'!O206</f>
        <v>40</v>
      </c>
    </row>
    <row r="210">
      <c r="A210" t="inlineStr" s="12">
        <is>
          <t xml:space="preserve">Starting customers (assumed)</t>
        </is>
      </c>
      <c r="O210" s="18">
        <v>0</v>
      </c>
    </row>
    <row r="211" outlineLevel="1">
      <c r="A211" t="inlineStr" s="13">
        <is>
          <t xml:space="preserve">Starting customers (assumed) &gt; Classroom</t>
        </is>
      </c>
      <c r="O211" s="19">
        <f>'Model inputs'!O205</f>
        <v>10</v>
      </c>
    </row>
    <row r="212" outlineLevel="1">
      <c r="A212" t="inlineStr" s="13">
        <is>
          <t xml:space="preserve">Starting customers (assumed) &gt; Household</t>
        </is>
      </c>
      <c r="O212" s="19">
        <f>'Model inputs'!O206</f>
        <v>40</v>
      </c>
    </row>
    <row r="213">
      <c r="A213" t="inlineStr" s="12">
        <is>
          <t xml:space="preserve">Stories used, share of included (assumed)</t>
        </is>
      </c>
      <c r="O213" s="21">
        <v>0</v>
      </c>
    </row>
    <row r="214" outlineLevel="1">
      <c r="A214" t="inlineStr" s="13">
        <is>
          <t xml:space="preserve">Stories used, share of included (assumed) &gt; Classroom</t>
        </is>
      </c>
      <c r="O214" s="22">
        <f>0.6</f>
        <v>0.6</v>
      </c>
    </row>
    <row r="215" outlineLevel="1">
      <c r="A215" t="inlineStr" s="13">
        <is>
          <t xml:space="preserve">Stories used, share of included (assumed) &gt; Household</t>
        </is>
      </c>
      <c r="O215" s="22">
        <f>0.6</f>
        <v>0.6</v>
      </c>
    </row>
    <row r="216">
      <c r="A216" t="inlineStr" s="12">
        <is>
          <t xml:space="preserve">Stories used, share of included (assumed)</t>
        </is>
      </c>
      <c r="O216" s="21">
        <v>0</v>
      </c>
    </row>
    <row r="217" outlineLevel="1">
      <c r="A217" t="inlineStr" s="13">
        <is>
          <t xml:space="preserve">Stories used, share of included (assumed) &gt; Classroom</t>
        </is>
      </c>
      <c r="O217" s="22">
        <f>'Model inputs'!O214</f>
        <v>0.6</v>
      </c>
    </row>
    <row r="218" outlineLevel="1">
      <c r="A218" t="inlineStr" s="13">
        <is>
          <t xml:space="preserve">Stories used, share of included (assumed) &gt; Household</t>
        </is>
      </c>
      <c r="O218" s="22">
        <f>'Model inputs'!O215</f>
        <v>0.6</v>
      </c>
    </row>
    <row r="219">
      <c r="A219" t="inlineStr" s="12">
        <is>
          <t xml:space="preserve">Stories used, share of included (assumed)</t>
        </is>
      </c>
      <c r="O219" s="21">
        <v>0</v>
      </c>
    </row>
    <row r="220" outlineLevel="1">
      <c r="A220" t="inlineStr" s="13">
        <is>
          <t xml:space="preserve">Stories used, share of included (assumed) &gt; Classroom</t>
        </is>
      </c>
      <c r="O220" s="22">
        <f>0.85</f>
        <v>0.85</v>
      </c>
    </row>
    <row r="221" outlineLevel="1">
      <c r="A221" t="inlineStr" s="13">
        <is>
          <t xml:space="preserve">Stories used, share of included (assumed) &gt; Household</t>
        </is>
      </c>
      <c r="O221" s="22">
        <f>0.85</f>
        <v>0.85</v>
      </c>
    </row>
    <row r="222">
      <c r="A222" t="inlineStr" s="12">
        <is>
          <t xml:space="preserve">Illustration policy selected (1 = yes, assumed)</t>
        </is>
      </c>
      <c r="O222" s="18">
        <v>0</v>
      </c>
    </row>
    <row r="223" outlineLevel="1">
      <c r="A223" t="inlineStr" s="13">
        <is>
          <t xml:space="preserve">Illustration policy selected (1 = yes, assumed) &gt; Full (8 pictures)</t>
        </is>
      </c>
      <c r="O223" s="19">
        <f>0</f>
        <v>0</v>
      </c>
    </row>
    <row r="224" outlineLevel="1">
      <c r="A224" t="inlineStr" s="13">
        <is>
          <t xml:space="preserve">Illustration policy selected (1 = yes, assumed) &gt; Half (4 pictures)</t>
        </is>
      </c>
      <c r="O224" s="19">
        <f>1</f>
        <v>1</v>
      </c>
    </row>
    <row r="225" outlineLevel="1">
      <c r="A225" t="inlineStr" s="13">
        <is>
          <t xml:space="preserve">Illustration policy selected (1 = yes, assumed) &gt; Text only (0)</t>
        </is>
      </c>
      <c r="O225" s="19">
        <f>0</f>
        <v>0</v>
      </c>
    </row>
    <row r="226">
      <c r="A226" t="inlineStr" s="12">
        <is>
          <t xml:space="preserve">Illustration policy selected (1 = yes, assumed)</t>
        </is>
      </c>
      <c r="O226" s="18">
        <v>0</v>
      </c>
    </row>
    <row r="227" outlineLevel="1">
      <c r="A227" t="inlineStr" s="13">
        <is>
          <t xml:space="preserve">Illustration policy selected (1 = yes, assumed) &gt; Full (8 pictures)</t>
        </is>
      </c>
      <c r="O227" s="19">
        <f>'Model inputs'!O223</f>
        <v>0</v>
      </c>
    </row>
    <row r="228" outlineLevel="1">
      <c r="A228" t="inlineStr" s="13">
        <is>
          <t xml:space="preserve">Illustration policy selected (1 = yes, assumed) &gt; Half (4 pictures)</t>
        </is>
      </c>
      <c r="O228" s="19">
        <f>'Model inputs'!O224</f>
        <v>1</v>
      </c>
    </row>
    <row r="229" outlineLevel="1">
      <c r="A229" t="inlineStr" s="13">
        <is>
          <t xml:space="preserve">Illustration policy selected (1 = yes, assumed) &gt; Text only (0)</t>
        </is>
      </c>
      <c r="O229" s="19">
        <f>'Model inputs'!O225</f>
        <v>0</v>
      </c>
    </row>
    <row r="230">
      <c r="A230" t="inlineStr" s="12">
        <is>
          <t xml:space="preserve">Illustration policy selected (1 = yes, assumed)</t>
        </is>
      </c>
      <c r="O230" s="18">
        <v>0</v>
      </c>
    </row>
    <row r="231" outlineLevel="1">
      <c r="A231" t="inlineStr" s="13">
        <is>
          <t xml:space="preserve">Illustration policy selected (1 = yes, assumed) &gt; Full (8 pictures)</t>
        </is>
      </c>
      <c r="O231" s="19">
        <f>'Model inputs'!O223</f>
        <v>0</v>
      </c>
    </row>
    <row r="232" outlineLevel="1">
      <c r="A232" t="inlineStr" s="13">
        <is>
          <t xml:space="preserve">Illustration policy selected (1 = yes, assumed) &gt; Half (4 pictures)</t>
        </is>
      </c>
      <c r="O232" s="19">
        <f>'Model inputs'!O224</f>
        <v>1</v>
      </c>
    </row>
    <row r="233" outlineLevel="1">
      <c r="A233" t="inlineStr" s="13">
        <is>
          <t xml:space="preserve">Illustration policy selected (1 = yes, assumed) &gt; Text only (0)</t>
        </is>
      </c>
      <c r="O233" s="19">
        <f>'Model inputs'!O225</f>
        <v>0</v>
      </c>
    </row>
    <row r="234">
      <c r="A234" t="inlineStr" s="12">
        <is>
          <t xml:space="preserve">Monthly churn (assumed)</t>
        </is>
      </c>
      <c r="O234" s="23">
        <v>0</v>
      </c>
    </row>
    <row r="235" outlineLevel="1">
      <c r="A235" t="inlineStr" s="13">
        <is>
          <t xml:space="preserve">Monthly churn (assumed) &gt; Classroom</t>
        </is>
      </c>
      <c r="O235" s="24">
        <f>0.03</f>
        <v>0.03</v>
      </c>
    </row>
    <row r="236" outlineLevel="1">
      <c r="A236" t="inlineStr" s="13">
        <is>
          <t xml:space="preserve">Monthly churn (assumed) &gt; Household</t>
        </is>
      </c>
      <c r="O236" s="24">
        <f>0.08</f>
        <v>0.08</v>
      </c>
    </row>
    <row r="237">
      <c r="A237" t="inlineStr" s="12">
        <is>
          <t xml:space="preserve">Monthly churn (assumed)</t>
        </is>
      </c>
      <c r="O237" s="23">
        <v>0</v>
      </c>
    </row>
    <row r="238" outlineLevel="1">
      <c r="A238" t="inlineStr" s="13">
        <is>
          <t xml:space="preserve">Monthly churn (assumed) &gt; Classroom</t>
        </is>
      </c>
      <c r="O238" s="24">
        <f>0.06</f>
        <v>0.06</v>
      </c>
    </row>
    <row r="239" outlineLevel="1">
      <c r="A239" t="inlineStr" s="13">
        <is>
          <t xml:space="preserve">Monthly churn (assumed) &gt; Household</t>
        </is>
      </c>
      <c r="O239" s="24">
        <f>0.15</f>
        <v>0.15</v>
      </c>
    </row>
    <row r="240">
      <c r="A240" t="inlineStr" s="12">
        <is>
          <t xml:space="preserve">Monthly churn (assumed)</t>
        </is>
      </c>
      <c r="O240" s="23">
        <v>0</v>
      </c>
    </row>
    <row r="241" outlineLevel="1">
      <c r="A241" t="inlineStr" s="13">
        <is>
          <t xml:space="preserve">Monthly churn (assumed) &gt; Classroom</t>
        </is>
      </c>
      <c r="O241" s="24">
        <f>'Model inputs'!O235</f>
        <v>0.03</v>
      </c>
    </row>
    <row r="242" outlineLevel="1">
      <c r="A242" t="inlineStr" s="13">
        <is>
          <t xml:space="preserve">Monthly churn (assumed) &gt; Household</t>
        </is>
      </c>
      <c r="O242" s="24">
        <f>'Model inputs'!O236</f>
        <v>0.08</v>
      </c>
    </row>
    <row r="243">
      <c r="A243" t="inlineStr" s="12">
        <is>
          <t xml:space="preserve">New customers per month (assumed)</t>
        </is>
      </c>
      <c r="O243" s="18">
        <v>0</v>
      </c>
    </row>
    <row r="244" outlineLevel="1">
      <c r="A244" t="inlineStr" s="13">
        <is>
          <t xml:space="preserve">New customers per month (assumed) &gt; Classroom</t>
        </is>
      </c>
      <c r="O244" s="19">
        <f>1</f>
        <v>1</v>
      </c>
    </row>
    <row r="245" outlineLevel="1">
      <c r="A245" t="inlineStr" s="13">
        <is>
          <t xml:space="preserve">New customers per month (assumed) &gt; Household</t>
        </is>
      </c>
      <c r="O245" s="19">
        <f>8</f>
        <v>8</v>
      </c>
    </row>
    <row r="246">
      <c r="A246" t="inlineStr" s="12">
        <is>
          <t xml:space="preserve">New customers per month (assumed)</t>
        </is>
      </c>
      <c r="O246" s="18">
        <v>0</v>
      </c>
    </row>
    <row r="247" outlineLevel="1">
      <c r="A247" t="inlineStr" s="13">
        <is>
          <t xml:space="preserve">New customers per month (assumed) &gt; Classroom</t>
        </is>
      </c>
      <c r="O247" s="19">
        <f>'Model inputs'!O244</f>
        <v>1</v>
      </c>
    </row>
    <row r="248" outlineLevel="1">
      <c r="A248" t="inlineStr" s="13">
        <is>
          <t xml:space="preserve">New customers per month (assumed) &gt; Household</t>
        </is>
      </c>
      <c r="O248" s="19">
        <f>'Model inputs'!O245</f>
        <v>8</v>
      </c>
    </row>
    <row r="249">
      <c r="A249" t="inlineStr" s="12">
        <is>
          <t xml:space="preserve">New customers per month (assumed)</t>
        </is>
      </c>
      <c r="O249" s="18">
        <v>0</v>
      </c>
    </row>
    <row r="250" outlineLevel="1">
      <c r="A250" t="inlineStr" s="13">
        <is>
          <t xml:space="preserve">New customers per month (assumed) &gt; Classroom</t>
        </is>
      </c>
      <c r="O250" s="19">
        <f>3</f>
        <v>3</v>
      </c>
    </row>
    <row r="251" outlineLevel="1">
      <c r="A251" t="inlineStr" s="13">
        <is>
          <t xml:space="preserve">New customers per month (assumed) &gt; Household</t>
        </is>
      </c>
      <c r="O251" s="19">
        <f>16</f>
        <v>16</v>
      </c>
    </row>
    <row r="252">
      <c r="A252" t="inlineStr" s="12">
        <is>
          <t xml:space="preserve">Picture and narration cost per story (USD, derived)</t>
        </is>
      </c>
      <c r="O252" s="20">
        <f>'Model inputs'!O306*'Model inputs'!O288+'Model inputs'!O286*'Model inputs'!O287</f>
        <v>0.016</v>
      </c>
    </row>
    <row r="253" outlineLevel="1">
      <c r="A253" t="inlineStr" s="13">
        <is>
          <t xml:space="preserve">Picture and narration cost per story (USD, derived) &gt; Full (8 pictures)</t>
        </is>
      </c>
      <c r="O253" s="14">
        <f>'Model inputs'!O307*'Model inputs'!O288+'Model inputs'!O286*'Model inputs'!O287</f>
        <v>0.336</v>
      </c>
    </row>
    <row r="254" outlineLevel="1">
      <c r="A254" t="inlineStr" s="13">
        <is>
          <t xml:space="preserve">Picture and narration cost per story (USD, derived) &gt; Half (4 pictures)</t>
        </is>
      </c>
      <c r="O254" s="14">
        <f>'Model inputs'!O308*'Model inputs'!O288+'Model inputs'!O286*'Model inputs'!O287</f>
        <v>0.176</v>
      </c>
    </row>
    <row r="255" outlineLevel="1">
      <c r="A255" t="inlineStr" s="13">
        <is>
          <t xml:space="preserve">Picture and narration cost per story (USD, derived) &gt; Text only (0)</t>
        </is>
      </c>
      <c r="O255" s="14">
        <f>'Model inputs'!O309*'Model inputs'!O288+'Model inputs'!O286*'Model inputs'!O287</f>
        <v>0.016</v>
      </c>
    </row>
    <row r="256">
      <c r="A256" t="inlineStr" s="12">
        <is>
          <t xml:space="preserve">Picture and narration cost per story (USD, derived)</t>
        </is>
      </c>
      <c r="O256" s="20">
        <f>'Model inputs'!O310*'Model inputs'!O295+'Model inputs'!O293*'Model inputs'!O294</f>
        <v>0.016</v>
      </c>
    </row>
    <row r="257" outlineLevel="1">
      <c r="A257" t="inlineStr" s="13">
        <is>
          <t xml:space="preserve">Picture and narration cost per story (USD, derived) &gt; Full (8 pictures)</t>
        </is>
      </c>
      <c r="O257" s="14">
        <f>'Model inputs'!O311*'Model inputs'!O295+'Model inputs'!O293*'Model inputs'!O294</f>
        <v>0.656</v>
      </c>
    </row>
    <row r="258" outlineLevel="1">
      <c r="A258" t="inlineStr" s="13">
        <is>
          <t xml:space="preserve">Picture and narration cost per story (USD, derived) &gt; Half (4 pictures)</t>
        </is>
      </c>
      <c r="O258" s="14">
        <f>'Model inputs'!O312*'Model inputs'!O295+'Model inputs'!O293*'Model inputs'!O294</f>
        <v>0.336</v>
      </c>
    </row>
    <row r="259" outlineLevel="1">
      <c r="A259" t="inlineStr" s="13">
        <is>
          <t xml:space="preserve">Picture and narration cost per story (USD, derived) &gt; Text only (0)</t>
        </is>
      </c>
      <c r="O259" s="14">
        <f>'Model inputs'!O313*'Model inputs'!O295+'Model inputs'!O293*'Model inputs'!O294</f>
        <v>0.016</v>
      </c>
    </row>
    <row r="260">
      <c r="A260" t="inlineStr" s="12">
        <is>
          <t xml:space="preserve">Picture and narration cost per story (USD, derived)</t>
        </is>
      </c>
      <c r="O260" s="20">
        <f>'Model inputs'!O314*'Model inputs'!O302+'Model inputs'!O300*'Model inputs'!O301</f>
        <v>0.016</v>
      </c>
    </row>
    <row r="261" outlineLevel="1">
      <c r="A261" t="inlineStr" s="13">
        <is>
          <t xml:space="preserve">Picture and narration cost per story (USD, derived) &gt; Full (8 pictures)</t>
        </is>
      </c>
      <c r="O261" s="14">
        <f>'Model inputs'!O315*'Model inputs'!O302+'Model inputs'!O300*'Model inputs'!O301</f>
        <v>0.336</v>
      </c>
    </row>
    <row r="262" outlineLevel="1">
      <c r="A262" t="inlineStr" s="13">
        <is>
          <t xml:space="preserve">Picture and narration cost per story (USD, derived) &gt; Half (4 pictures)</t>
        </is>
      </c>
      <c r="O262" s="14">
        <f>'Model inputs'!O316*'Model inputs'!O302+'Model inputs'!O300*'Model inputs'!O301</f>
        <v>0.176</v>
      </c>
    </row>
    <row r="263" outlineLevel="1">
      <c r="A263" t="inlineStr" s="13">
        <is>
          <t xml:space="preserve">Picture and narration cost per story (USD, derived) &gt; Text only (0)</t>
        </is>
      </c>
      <c r="O263" s="14">
        <f>'Model inputs'!O317*'Model inputs'!O302+'Model inputs'!O300*'Model inputs'!O301</f>
        <v>0.016</v>
      </c>
    </row>
    <row r="264">
      <c r="A264" t="inlineStr" s="12">
        <is>
          <t xml:space="preserve">Spans per story (assumed placeholder) · Spans per month (derived) · Main Scenario · Main Scenario</t>
        </is>
      </c>
      <c r="O264" s="19">
        <f>150</f>
        <v>150</v>
      </c>
    </row>
    <row r="265">
      <c r="A265" t="inlineStr" s="12">
        <is>
          <t xml:space="preserve">Spans per story (assumed placeholder) · Spans per month (derived) · Downside · Downside</t>
        </is>
      </c>
      <c r="O265" s="19">
        <f>'Model inputs'!O264</f>
        <v>150</v>
      </c>
    </row>
    <row r="266">
      <c r="A266" t="inlineStr" s="12">
        <is>
          <t xml:space="preserve">Spans per story (assumed placeholder) · Spans per month (derived) · Growth · Growth</t>
        </is>
      </c>
      <c r="O266" s="19">
        <f>'Model inputs'!O264</f>
        <v>150</v>
      </c>
    </row>
    <row r="267">
      <c r="A267" t="inlineStr" s="12">
        <is>
          <t xml:space="preserve">Text and verification cost per story (USD, derived)</t>
        </is>
      </c>
      <c r="O267" s="20">
        <f>'Model inputs'!O290+'Model inputs'!O318*('Model inputs'!O291-'Model inputs'!O290)</f>
        <v>0.01684</v>
      </c>
    </row>
    <row r="268" outlineLevel="1">
      <c r="A268" t="inlineStr" s="13">
        <is>
          <t xml:space="preserve">Text and verification cost per story (USD, derived) &gt; Sampled</t>
        </is>
      </c>
      <c r="O268" s="14">
        <f>'Model inputs'!O290+'Model inputs'!O319*('Model inputs'!O291-'Model inputs'!O290)</f>
        <v>0.01684</v>
      </c>
    </row>
    <row r="269" outlineLevel="1">
      <c r="A269" t="inlineStr" s="13">
        <is>
          <t xml:space="preserve">Text and verification cost per story (USD, derived) &gt; Verify all</t>
        </is>
      </c>
      <c r="O269" s="14">
        <f>'Model inputs'!O290+'Model inputs'!O320*('Model inputs'!O291-'Model inputs'!O290)</f>
        <v>0.0199</v>
      </c>
    </row>
    <row r="270">
      <c r="A270" t="inlineStr" s="12">
        <is>
          <t xml:space="preserve">Text and verification cost per story (USD, derived)</t>
        </is>
      </c>
      <c r="O270" s="20">
        <f>'Model inputs'!O297+'Model inputs'!O321*('Model inputs'!O298-'Model inputs'!O297)</f>
        <v>0.01684</v>
      </c>
    </row>
    <row r="271" outlineLevel="1">
      <c r="A271" t="inlineStr" s="13">
        <is>
          <t xml:space="preserve">Text and verification cost per story (USD, derived) &gt; Sampled</t>
        </is>
      </c>
      <c r="O271" s="14">
        <f>'Model inputs'!O297+'Model inputs'!O322*('Model inputs'!O298-'Model inputs'!O297)</f>
        <v>0.01684</v>
      </c>
    </row>
    <row r="272" outlineLevel="1">
      <c r="A272" t="inlineStr" s="13">
        <is>
          <t xml:space="preserve">Text and verification cost per story (USD, derived) &gt; Verify all</t>
        </is>
      </c>
      <c r="O272" s="14">
        <f>'Model inputs'!O297+'Model inputs'!O323*('Model inputs'!O298-'Model inputs'!O297)</f>
        <v>0.0199</v>
      </c>
    </row>
    <row r="273">
      <c r="A273" t="inlineStr" s="12">
        <is>
          <t xml:space="preserve">Text and verification cost per story (USD, derived)</t>
        </is>
      </c>
      <c r="O273" s="20">
        <f>'Model inputs'!O304+'Model inputs'!O324*('Model inputs'!O305-'Model inputs'!O304)</f>
        <v>0.01684</v>
      </c>
    </row>
    <row r="274" outlineLevel="1">
      <c r="A274" t="inlineStr" s="13">
        <is>
          <t xml:space="preserve">Text and verification cost per story (USD, derived) &gt; Sampled</t>
        </is>
      </c>
      <c r="O274" s="14">
        <f>'Model inputs'!O304+'Model inputs'!O325*('Model inputs'!O305-'Model inputs'!O304)</f>
        <v>0.01684</v>
      </c>
    </row>
    <row r="275" outlineLevel="1">
      <c r="A275" t="inlineStr" s="13">
        <is>
          <t xml:space="preserve">Text and verification cost per story (USD, derived) &gt; Verify all</t>
        </is>
      </c>
      <c r="O275" s="14">
        <f>'Model inputs'!O304+'Model inputs'!O326*('Model inputs'!O305-'Model inputs'!O304)</f>
        <v>0.0199</v>
      </c>
    </row>
    <row r="276">
      <c r="A276" t="inlineStr" s="12">
        <is>
          <t xml:space="preserve">Verification policy selected (1 = yes, assumed)</t>
        </is>
      </c>
      <c r="O276" s="18">
        <v>0</v>
      </c>
    </row>
    <row r="277" outlineLevel="1">
      <c r="A277" t="inlineStr" s="13">
        <is>
          <t xml:space="preserve">Verification policy selected (1 = yes, assumed) &gt; Sampled</t>
        </is>
      </c>
      <c r="O277" s="19">
        <f>0</f>
        <v>0</v>
      </c>
    </row>
    <row r="278" outlineLevel="1">
      <c r="A278" t="inlineStr" s="13">
        <is>
          <t xml:space="preserve">Verification policy selected (1 = yes, assumed) &gt; Verify all</t>
        </is>
      </c>
      <c r="O278" s="19">
        <f>1</f>
        <v>1</v>
      </c>
    </row>
    <row r="279">
      <c r="A279" t="inlineStr" s="12">
        <is>
          <t xml:space="preserve">Verification policy selected (1 = yes, assumed)</t>
        </is>
      </c>
      <c r="O279" s="18">
        <v>0</v>
      </c>
    </row>
    <row r="280" outlineLevel="1">
      <c r="A280" t="inlineStr" s="13">
        <is>
          <t xml:space="preserve">Verification policy selected (1 = yes, assumed) &gt; Sampled</t>
        </is>
      </c>
      <c r="O280" s="19">
        <f>'Model inputs'!O277</f>
        <v>0</v>
      </c>
    </row>
    <row r="281" outlineLevel="1">
      <c r="A281" t="inlineStr" s="13">
        <is>
          <t xml:space="preserve">Verification policy selected (1 = yes, assumed) &gt; Verify all</t>
        </is>
      </c>
      <c r="O281" s="19">
        <f>'Model inputs'!O278</f>
        <v>1</v>
      </c>
    </row>
    <row r="282">
      <c r="A282" t="inlineStr" s="12">
        <is>
          <t xml:space="preserve">Verification policy selected (1 = yes, assumed)</t>
        </is>
      </c>
      <c r="O282" s="18">
        <v>0</v>
      </c>
    </row>
    <row r="283" outlineLevel="1">
      <c r="A283" t="inlineStr" s="13">
        <is>
          <t xml:space="preserve">Verification policy selected (1 = yes, assumed) &gt; Sampled</t>
        </is>
      </c>
      <c r="O283" s="19">
        <f>'Model inputs'!O277</f>
        <v>0</v>
      </c>
    </row>
    <row r="284" outlineLevel="1">
      <c r="A284" t="inlineStr" s="13">
        <is>
          <t xml:space="preserve">Verification policy selected (1 = yes, assumed) &gt; Verify all</t>
        </is>
      </c>
      <c r="O284" s="19">
        <f>'Model inputs'!O278</f>
        <v>1</v>
      </c>
    </row>
    <row r="285">
      <c r="A285" t="inlineStr" s="12">
        <is>
          <t xml:space="preserve">Cost input value</t>
        </is>
      </c>
      <c r="O285" s="25">
        <v>0</v>
      </c>
    </row>
    <row r="286" outlineLevel="1">
      <c r="A286" t="inlineStr" s="13">
        <is>
          <t xml:space="preserve">Cost input value &gt; Narration price per page</t>
        </is>
      </c>
      <c r="O286" s="26">
        <f>0.002</f>
        <v>0.002</v>
      </c>
    </row>
    <row r="287" outlineLevel="1">
      <c r="A287" t="inlineStr" s="13">
        <is>
          <t xml:space="preserve">Cost input value &gt; Pages per story</t>
        </is>
      </c>
      <c r="O287" s="26">
        <f>8</f>
        <v>8</v>
      </c>
    </row>
    <row r="288" outlineLevel="1">
      <c r="A288" t="inlineStr" s="13">
        <is>
          <t xml:space="preserve">Cost input value &gt; Picture price each</t>
        </is>
      </c>
      <c r="O288" s="26">
        <f>0.04</f>
        <v>0.04</v>
      </c>
    </row>
    <row r="289" outlineLevel="1">
      <c r="A289" t="inlineStr" s="13">
        <is>
          <t xml:space="preserve">Cost input value &gt; Sampled share of gated uplift</t>
        </is>
      </c>
      <c r="O289" s="26">
        <f>0.7</f>
        <v>0.7</v>
      </c>
    </row>
    <row r="290" outlineLevel="1">
      <c r="A290" t="inlineStr" s="13">
        <is>
          <t xml:space="preserve">Cost input value &gt; Text and verification B0 ungated</t>
        </is>
      </c>
      <c r="O290" s="26">
        <f>0.0097</f>
        <v>0.0097</v>
      </c>
    </row>
    <row r="291" outlineLevel="1">
      <c r="A291" t="inlineStr" s="13">
        <is>
          <t xml:space="preserve">Cost input value &gt; Text and verification B1 gated</t>
        </is>
      </c>
      <c r="O291" s="26">
        <f>0.0199</f>
        <v>0.0199</v>
      </c>
    </row>
    <row r="292">
      <c r="A292" t="inlineStr" s="12">
        <is>
          <t xml:space="preserve">Cost input value</t>
        </is>
      </c>
      <c r="O292" s="25">
        <v>0</v>
      </c>
    </row>
    <row r="293" outlineLevel="1">
      <c r="A293" t="inlineStr" s="13">
        <is>
          <t xml:space="preserve">Cost input value &gt; Narration price per page</t>
        </is>
      </c>
      <c r="O293" s="26">
        <f>'Model inputs'!O286</f>
        <v>0.002</v>
      </c>
    </row>
    <row r="294" outlineLevel="1">
      <c r="A294" t="inlineStr" s="13">
        <is>
          <t xml:space="preserve">Cost input value &gt; Pages per story</t>
        </is>
      </c>
      <c r="O294" s="26">
        <f>'Model inputs'!O287</f>
        <v>8</v>
      </c>
    </row>
    <row r="295" outlineLevel="1">
      <c r="A295" t="inlineStr" s="13">
        <is>
          <t xml:space="preserve">Cost input value &gt; Picture price each</t>
        </is>
      </c>
      <c r="O295" s="26">
        <f>0.08</f>
        <v>0.08</v>
      </c>
    </row>
    <row r="296" outlineLevel="1">
      <c r="A296" t="inlineStr" s="13">
        <is>
          <t xml:space="preserve">Cost input value &gt; Sampled share of gated uplift</t>
        </is>
      </c>
      <c r="O296" s="26">
        <f>'Model inputs'!O289</f>
        <v>0.7</v>
      </c>
    </row>
    <row r="297" outlineLevel="1">
      <c r="A297" t="inlineStr" s="13">
        <is>
          <t xml:space="preserve">Cost input value &gt; Text and verification B0 ungated</t>
        </is>
      </c>
      <c r="O297" s="26">
        <f>'Model inputs'!O290</f>
        <v>0.0097</v>
      </c>
    </row>
    <row r="298" outlineLevel="1">
      <c r="A298" t="inlineStr" s="13">
        <is>
          <t xml:space="preserve">Cost input value &gt; Text and verification B1 gated</t>
        </is>
      </c>
      <c r="O298" s="26">
        <f>'Model inputs'!O291</f>
        <v>0.0199</v>
      </c>
    </row>
    <row r="299">
      <c r="A299" t="inlineStr" s="12">
        <is>
          <t xml:space="preserve">Cost input value</t>
        </is>
      </c>
      <c r="O299" s="25">
        <v>0</v>
      </c>
    </row>
    <row r="300" outlineLevel="1">
      <c r="A300" t="inlineStr" s="13">
        <is>
          <t xml:space="preserve">Cost input value &gt; Narration price per page</t>
        </is>
      </c>
      <c r="O300" s="26">
        <f>'Model inputs'!O286</f>
        <v>0.002</v>
      </c>
    </row>
    <row r="301" outlineLevel="1">
      <c r="A301" t="inlineStr" s="13">
        <is>
          <t xml:space="preserve">Cost input value &gt; Pages per story</t>
        </is>
      </c>
      <c r="O301" s="26">
        <f>'Model inputs'!O287</f>
        <v>8</v>
      </c>
    </row>
    <row r="302" outlineLevel="1">
      <c r="A302" t="inlineStr" s="13">
        <is>
          <t xml:space="preserve">Cost input value &gt; Picture price each</t>
        </is>
      </c>
      <c r="O302" s="26">
        <f>'Model inputs'!O288</f>
        <v>0.04</v>
      </c>
    </row>
    <row r="303" outlineLevel="1">
      <c r="A303" t="inlineStr" s="13">
        <is>
          <t xml:space="preserve">Cost input value &gt; Sampled share of gated uplift</t>
        </is>
      </c>
      <c r="O303" s="26">
        <f>'Model inputs'!O289</f>
        <v>0.7</v>
      </c>
    </row>
    <row r="304" outlineLevel="1">
      <c r="A304" t="inlineStr" s="13">
        <is>
          <t xml:space="preserve">Cost input value &gt; Text and verification B0 ungated</t>
        </is>
      </c>
      <c r="O304" s="26">
        <f>'Model inputs'!O290</f>
        <v>0.0097</v>
      </c>
    </row>
    <row r="305" outlineLevel="1">
      <c r="A305" t="inlineStr" s="13">
        <is>
          <t xml:space="preserve">Cost input value &gt; Text and verification B1 gated</t>
        </is>
      </c>
      <c r="O305" s="26">
        <f>'Model inputs'!O291</f>
        <v>0.0199</v>
      </c>
    </row>
    <row r="306">
      <c r="A306" t="inlineStr" s="12">
        <is>
          <t xml:space="preserve">Pictures per story (policy)</t>
        </is>
      </c>
      <c r="O306" s="18">
        <v>0</v>
      </c>
    </row>
    <row r="307" outlineLevel="1">
      <c r="A307" t="inlineStr" s="13">
        <is>
          <t xml:space="preserve">Pictures per story (policy) &gt; Full (8 pictures)</t>
        </is>
      </c>
      <c r="O307" s="19">
        <f>8</f>
        <v>8</v>
      </c>
    </row>
    <row r="308" outlineLevel="1">
      <c r="A308" t="inlineStr" s="13">
        <is>
          <t xml:space="preserve">Pictures per story (policy) &gt; Half (4 pictures)</t>
        </is>
      </c>
      <c r="O308" s="19">
        <f>4</f>
        <v>4</v>
      </c>
    </row>
    <row r="309" outlineLevel="1">
      <c r="A309" t="inlineStr" s="13">
        <is>
          <t xml:space="preserve">Pictures per story (policy) &gt; Text only (0)</t>
        </is>
      </c>
      <c r="O309" s="19">
        <f>0</f>
        <v>0</v>
      </c>
    </row>
    <row r="310">
      <c r="A310" t="inlineStr" s="12">
        <is>
          <t xml:space="preserve">Pictures per story (policy)</t>
        </is>
      </c>
      <c r="O310" s="18">
        <v>0</v>
      </c>
    </row>
    <row r="311" outlineLevel="1">
      <c r="A311" t="inlineStr" s="13">
        <is>
          <t xml:space="preserve">Pictures per story (policy) &gt; Full (8 pictures)</t>
        </is>
      </c>
      <c r="O311" s="19">
        <f>'Model inputs'!O307</f>
        <v>8</v>
      </c>
    </row>
    <row r="312" outlineLevel="1">
      <c r="A312" t="inlineStr" s="13">
        <is>
          <t xml:space="preserve">Pictures per story (policy) &gt; Half (4 pictures)</t>
        </is>
      </c>
      <c r="O312" s="19">
        <f>'Model inputs'!O308</f>
        <v>4</v>
      </c>
    </row>
    <row r="313" outlineLevel="1">
      <c r="A313" t="inlineStr" s="13">
        <is>
          <t xml:space="preserve">Pictures per story (policy) &gt; Text only (0)</t>
        </is>
      </c>
      <c r="O313" s="19">
        <f>'Model inputs'!O309</f>
        <v>0</v>
      </c>
    </row>
    <row r="314">
      <c r="A314" t="inlineStr" s="12">
        <is>
          <t xml:space="preserve">Pictures per story (policy)</t>
        </is>
      </c>
      <c r="O314" s="18">
        <v>0</v>
      </c>
    </row>
    <row r="315" outlineLevel="1">
      <c r="A315" t="inlineStr" s="13">
        <is>
          <t xml:space="preserve">Pictures per story (policy) &gt; Full (8 pictures)</t>
        </is>
      </c>
      <c r="O315" s="19">
        <f>'Model inputs'!O307</f>
        <v>8</v>
      </c>
    </row>
    <row r="316" outlineLevel="1">
      <c r="A316" t="inlineStr" s="13">
        <is>
          <t xml:space="preserve">Pictures per story (policy) &gt; Half (4 pictures)</t>
        </is>
      </c>
      <c r="O316" s="19">
        <f>'Model inputs'!O308</f>
        <v>4</v>
      </c>
    </row>
    <row r="317" outlineLevel="1">
      <c r="A317" t="inlineStr" s="13">
        <is>
          <t xml:space="preserve">Pictures per story (policy) &gt; Text only (0)</t>
        </is>
      </c>
      <c r="O317" s="19">
        <f>'Model inputs'!O309</f>
        <v>0</v>
      </c>
    </row>
    <row r="318">
      <c r="A318" t="inlineStr" s="12">
        <is>
          <t xml:space="preserve">Share of gated uplift paid (derived)</t>
        </is>
      </c>
      <c r="O318" s="21">
        <v>0.7</v>
      </c>
    </row>
    <row r="319" outlineLevel="1">
      <c r="A319" t="inlineStr" s="13">
        <is>
          <t xml:space="preserve">Share of gated uplift paid (derived) &gt; Sampled</t>
        </is>
      </c>
      <c r="O319" s="22">
        <f>IF(EXACT("Sampled","Verify all"),1,IF('Model inputs'!O289="","",'Model inputs'!O289))</f>
        <v>0.7</v>
      </c>
    </row>
    <row r="320" outlineLevel="1">
      <c r="A320" t="inlineStr" s="13">
        <is>
          <t xml:space="preserve">Share of gated uplift paid (derived) &gt; Verify all</t>
        </is>
      </c>
      <c r="O320" s="22">
        <f>IF(EXACT("Verify all","Verify all"),1,IF('Model inputs'!O289="","",'Model inputs'!O289))</f>
        <v>1</v>
      </c>
    </row>
    <row r="321">
      <c r="A321" t="inlineStr" s="12">
        <is>
          <t xml:space="preserve">Share of gated uplift paid (derived)</t>
        </is>
      </c>
      <c r="O321" s="21">
        <v>0.7</v>
      </c>
    </row>
    <row r="322" outlineLevel="1">
      <c r="A322" t="inlineStr" s="13">
        <is>
          <t xml:space="preserve">Share of gated uplift paid (derived) &gt; Sampled</t>
        </is>
      </c>
      <c r="O322" s="22">
        <f>IF(EXACT("Sampled","Verify all"),1,IF('Model inputs'!O296="","",'Model inputs'!O296))</f>
        <v>0.7</v>
      </c>
    </row>
    <row r="323" outlineLevel="1">
      <c r="A323" t="inlineStr" s="13">
        <is>
          <t xml:space="preserve">Share of gated uplift paid (derived) &gt; Verify all</t>
        </is>
      </c>
      <c r="O323" s="22">
        <f>IF(EXACT("Verify all","Verify all"),1,IF('Model inputs'!O296="","",'Model inputs'!O296))</f>
        <v>1</v>
      </c>
    </row>
    <row r="324">
      <c r="A324" t="inlineStr" s="12">
        <is>
          <t xml:space="preserve">Share of gated uplift paid (derived)</t>
        </is>
      </c>
      <c r="O324" s="21">
        <v>0.7</v>
      </c>
    </row>
    <row r="325" outlineLevel="1">
      <c r="A325" t="inlineStr" s="13">
        <is>
          <t xml:space="preserve">Share of gated uplift paid (derived) &gt; Sampled</t>
        </is>
      </c>
      <c r="O325" s="22">
        <f>IF(EXACT("Sampled","Verify all"),1,IF('Model inputs'!O303="","",'Model inputs'!O303))</f>
        <v>0.7</v>
      </c>
    </row>
    <row r="326" outlineLevel="1">
      <c r="A326" t="inlineStr" s="13">
        <is>
          <t xml:space="preserve">Share of gated uplift paid (derived) &gt; Verify all</t>
        </is>
      </c>
      <c r="O326" s="22">
        <f>IF(EXACT("Verify all","Verify all"),1,IF('Model inputs'!O303="","",'Model inputs'!O303))</f>
        <v>1</v>
      </c>
    </row>
    <row r="328">
      <c r="A328" t="inlineStr" s="11">
        <is>
          <t xml:space="preserve">Dimensions</t>
        </is>
      </c>
    </row>
    <row r="329">
      <c r="A329" t="inlineStr" s="12">
        <is>
          <t xml:space="preserve">Plan</t>
        </is>
      </c>
      <c r="B329" t="inlineStr" s="27">
        <is>
          <t xml:space="preserve">Classroom</t>
        </is>
      </c>
      <c r="C329" t="inlineStr" s="27">
        <is>
          <t xml:space="preserve">Household</t>
        </is>
      </c>
    </row>
    <row r="330">
      <c r="A330" t="inlineStr" s="12">
        <is>
          <t xml:space="preserve">Illustration policy</t>
        </is>
      </c>
      <c r="B330" t="inlineStr" s="27">
        <is>
          <t xml:space="preserve">Full (8 pictures)</t>
        </is>
      </c>
      <c r="C330" t="inlineStr" s="27">
        <is>
          <t xml:space="preserve">Half (4 pictures)</t>
        </is>
      </c>
      <c r="D330" t="inlineStr" s="27">
        <is>
          <t xml:space="preserve">Text only (0)</t>
        </is>
      </c>
    </row>
    <row r="331">
      <c r="A331" t="inlineStr" s="12">
        <is>
          <t xml:space="preserve">Verification policy</t>
        </is>
      </c>
      <c r="B331" t="inlineStr" s="27">
        <is>
          <t xml:space="preserve">Sampled</t>
        </is>
      </c>
      <c r="C331" t="inlineStr" s="27">
        <is>
          <t xml:space="preserve">Verify all</t>
        </is>
      </c>
    </row>
    <row r="332">
      <c r="A332" t="inlineStr" s="12">
        <is>
          <t xml:space="preserve">Cost input</t>
        </is>
      </c>
      <c r="B332" t="inlineStr" s="27">
        <is>
          <t xml:space="preserve">Narration price per page</t>
        </is>
      </c>
      <c r="C332" t="inlineStr" s="27">
        <is>
          <t xml:space="preserve">Pages per story</t>
        </is>
      </c>
      <c r="D332" t="inlineStr" s="27">
        <is>
          <t xml:space="preserve">Picture price each</t>
        </is>
      </c>
      <c r="E332" t="inlineStr" s="27">
        <is>
          <t xml:space="preserve">Sampled share of gated uplift</t>
        </is>
      </c>
      <c r="F332" t="inlineStr" s="27">
        <is>
          <t xml:space="preserve">Text and verification B0 ungated</t>
        </is>
      </c>
      <c r="G332" t="inlineStr" s="27">
        <is>
          <t xml:space="preserve">Text and verification B1 gated</t>
        </is>
      </c>
    </row>
  </sheetData>
  <mergeCells count="2">
    <mergeCell ref="A1:O1"/>
    <mergeCell ref="A2:O2"/>
  </mergeCells>
</worksheet>
</file>

<file path=xl/worksheets/sheet4.xml><?xml version="1.0" encoding="utf-8"?>
<worksheet xmlns="http://schemas.openxmlformats.org/spreadsheetml/2006/main">
  <dimension ref="A1:F7"/>
  <sheetViews>
    <sheetView showGridLines="0" workbookViewId="0">
      <pane xSplit="0" ySplit="4" topLeftCell="A5" activePane="bottomRight" state="frozen"/>
      <selection pane="bottomRight" activeCell="A5" sqref="A5"/>
    </sheetView>
  </sheetViews>
  <sheetFormatPr defaultRowHeight="18"/>
  <cols>
    <col min="1" max="1" width="32" customWidth="1"/>
    <col min="2" max="2" width="10" customWidth="1"/>
    <col min="3" max="3" width="36" customWidth="1"/>
    <col min="4" max="4" width="14" customWidth="1"/>
    <col min="5" max="5" width="24" customWidth="1"/>
    <col min="6" max="6" width="80" customWidth="1"/>
  </cols>
  <sheetData>
    <row r="1" ht="32" customHeight="1">
      <c r="A1" t="inlineStr" s="1">
        <is>
          <t xml:space="preserve">Export notes</t>
        </is>
      </c>
    </row>
    <row r="2" ht="20" customHeight="1">
      <c r="A2" t="inlineStr" s="2">
        <is>
          <t xml:space="preserve">These cells hold the value cfo.ai calculated instead of a formula. They do not recalculate when you edit an input.</t>
        </is>
      </c>
    </row>
    <row r="4" ht="22" customHeight="1">
      <c r="A4" t="inlineStr" s="3">
        <is>
          <t xml:space="preserve">Sheet</t>
        </is>
      </c>
      <c r="B4" t="inlineStr" s="3">
        <is>
          <t xml:space="preserve">Cell</t>
        </is>
      </c>
      <c r="C4" t="inlineStr" s="3">
        <is>
          <t xml:space="preserve">Variable</t>
        </is>
      </c>
      <c r="D4" t="inlineStr" s="3">
        <is>
          <t xml:space="preserve">Period</t>
        </is>
      </c>
      <c r="E4" t="inlineStr" s="3">
        <is>
          <t xml:space="preserve">Scenario</t>
        </is>
      </c>
      <c r="F4" t="inlineStr" s="3">
        <is>
          <t xml:space="preserve">Why</t>
        </is>
      </c>
    </row>
    <row r="5">
      <c r="A5" t="inlineStr" s="27">
        <is>
          <t xml:space="preserve">Model inputs</t>
        </is>
      </c>
      <c r="B5" t="inlineStr" s="27">
        <is>
          <t xml:space="preserve">O318</t>
        </is>
      </c>
      <c r="C5" t="inlineStr" s="27">
        <is>
          <t xml:space="preserve">Share of gated uplift paid (derived)</t>
        </is>
      </c>
      <c r="D5" t="inlineStr" s="27">
        <is>
          <t xml:space="preserve"/>
        </is>
      </c>
      <c r="E5" t="inlineStr" s="27">
        <is>
          <t xml:space="preserve">Main Scenario</t>
        </is>
      </c>
      <c r="F5" t="inlineStr" s="27">
        <is>
          <t xml:space="preserve">It reads Verification policy, which this workbook does not contain.</t>
        </is>
      </c>
    </row>
    <row r="6">
      <c r="A6" t="inlineStr" s="27">
        <is>
          <t xml:space="preserve">Model inputs</t>
        </is>
      </c>
      <c r="B6" t="inlineStr" s="27">
        <is>
          <t xml:space="preserve">O321</t>
        </is>
      </c>
      <c r="C6" t="inlineStr" s="27">
        <is>
          <t xml:space="preserve">Share of gated uplift paid (derived)</t>
        </is>
      </c>
      <c r="D6" t="inlineStr" s="27">
        <is>
          <t xml:space="preserve"/>
        </is>
      </c>
      <c r="E6" t="inlineStr" s="27">
        <is>
          <t xml:space="preserve">Downside</t>
        </is>
      </c>
      <c r="F6" t="inlineStr" s="27">
        <is>
          <t xml:space="preserve">It reads Verification policy, which this workbook does not contain.</t>
        </is>
      </c>
    </row>
    <row r="7">
      <c r="A7" t="inlineStr" s="27">
        <is>
          <t xml:space="preserve">Model inputs</t>
        </is>
      </c>
      <c r="B7" t="inlineStr" s="27">
        <is>
          <t xml:space="preserve">O324</t>
        </is>
      </c>
      <c r="C7" t="inlineStr" s="27">
        <is>
          <t xml:space="preserve">Share of gated uplift paid (derived)</t>
        </is>
      </c>
      <c r="D7" t="inlineStr" s="27">
        <is>
          <t xml:space="preserve"/>
        </is>
      </c>
      <c r="E7" t="inlineStr" s="27">
        <is>
          <t xml:space="preserve">Growth</t>
        </is>
      </c>
      <c r="F7" t="inlineStr" s="27">
        <is>
          <t xml:space="preserve">It reads Verification policy, which this workbook does not contain.</t>
        </is>
      </c>
    </row>
  </sheetData>
  <mergeCells count="2">
    <mergeCell ref="A1:F1"/>
    <mergeCell ref="A2:F2"/>
  </mergeCells>
</worksheet>
</file>