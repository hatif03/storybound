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Verification and illustration p" sheetId="1" r:id="rId1"/>
    <sheet name="Month 6 reference (company, sel" sheetId="2" r:id="rId2"/>
    <sheet name="Selected policy" sheetId="3" r:id="rId3"/>
    <sheet name="Model inputs" sheetId="4" r:id="rId4"/>
    <sheet name="Export note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&quot;$&quot;#,##0.0000;(&quot;$&quot;#,##0.0000)"/>
    <numFmt numFmtId="165" formatCode="0.0%"/>
    <numFmt numFmtId="166" formatCode="#,##0;(#,##0)"/>
    <numFmt numFmtId="167" formatCode="&quot;$&quot;#,##0;(&quot;$&quot;#,##0)"/>
    <numFmt numFmtId="168" formatCode="0.0000%"/>
    <numFmt numFmtId="169" formatCode="0%"/>
    <numFmt numFmtId="170" formatCode="#,##0.###;(#,##0.###)"/>
    <numFmt numFmtId="171" formatCode="#,##0.0000;(#,##0.0000)"/>
    <numFmt numFmtId="172" formatCode="#,##0.0;(#,##0.0)"/>
    <numFmt numFmtId="173" formatCode="&quot;$&quot;#,##0.00;(&quot;$&quot;#,##0.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5" borderId="1" xfId="0" applyFill="1" applyFont="1" applyBorder="1" applyAlignment="1">
      <alignment vertical="center" horizontal="right"/>
    </xf>
    <xf numFmtId="0" fontId="3" fillId="6" borderId="0" xfId="0" applyFill="1" applyFont="1" applyAlignment="1">
      <alignment vertical="center" horizontal="left"/>
    </xf>
    <xf numFmtId="169" fontId="0" fillId="0" borderId="0" xfId="0" applyNumberFormat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170" fontId="0" fillId="0" borderId="0" xfId="0" applyNumberFormat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172" fontId="3" fillId="4" borderId="1" xfId="0" applyNumberFormat="1" applyFill="1" applyFont="1" applyBorder="1" applyAlignment="1">
      <alignment vertical="center" horizontal="right"/>
    </xf>
    <xf numFmtId="172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73" fontId="3" fillId="4" borderId="1" xfId="0" applyNumberFormat="1" applyFill="1" applyFont="1" applyBorder="1" applyAlignment="1">
      <alignment vertical="center" horizontal="right"/>
    </xf>
    <xf numFmtId="173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1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Verification and illustration policy: cost, margin and bar</t>
        </is>
      </c>
    </row>
    <row r="2" ht="20" customHeight="1">
      <c r="A2" t="inlineStr" s="2">
        <is>
          <t xml:space="preserve">Verification and illustration policy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Full (8 pictures)</t>
        </is>
      </c>
      <c r="C4" t="inlineStr" s="4">
        <is>
          <t xml:space="preserve">Half (4 pictures)</t>
        </is>
      </c>
      <c r="D4" t="inlineStr" s="4">
        <is>
          <t xml:space="preserve">Text only (0)</t>
        </is>
      </c>
    </row>
    <row r="5">
      <c r="A5" t="inlineStr" s="5">
        <is>
          <t xml:space="preserve">Cost per story (USD, estimate)</t>
        </is>
      </c>
      <c r="B5" t="str" s="6">
        <f>""</f>
        <v/>
      </c>
      <c r="C5" t="str" s="6">
        <f>""</f>
        <v/>
      </c>
      <c r="D5" t="str" s="6">
        <f>""</f>
        <v/>
      </c>
    </row>
    <row r="6" outlineLevel="1">
      <c r="A6" t="inlineStr" s="7">
        <is>
          <t xml:space="preserve">Sampled</t>
        </is>
      </c>
      <c r="B6" s="8">
        <f>'Model inputs'!C36+'Model inputs'!C15+'Model inputs'!C38</f>
        <v>0.35284000000000004</v>
      </c>
      <c r="C6" s="8">
        <f>'Model inputs'!C36+'Model inputs'!C16+'Model inputs'!C38</f>
        <v>0.19283999999999998</v>
      </c>
      <c r="D6" s="8">
        <f>'Model inputs'!C36+'Model inputs'!C17+'Model inputs'!C38</f>
        <v>0.03284</v>
      </c>
    </row>
    <row r="7" outlineLevel="1">
      <c r="A7" t="inlineStr" s="7">
        <is>
          <t xml:space="preserve">Verify all</t>
        </is>
      </c>
      <c r="B7" s="8">
        <f>'Model inputs'!C37+'Model inputs'!C15+'Model inputs'!C38</f>
        <v>0.3559</v>
      </c>
      <c r="C7" s="8">
        <f>'Model inputs'!C37+'Model inputs'!C16+'Model inputs'!C38</f>
        <v>0.1959</v>
      </c>
      <c r="D7" s="8">
        <f>'Model inputs'!C37+'Model inputs'!C17+'Model inputs'!C38</f>
        <v>0.0359</v>
      </c>
    </row>
    <row r="8">
      <c r="A8" t="inlineStr" s="5">
        <is>
          <t xml:space="preserve">Gross margin at month 6 (derived)</t>
        </is>
      </c>
      <c r="B8" t="str" s="9">
        <f>""</f>
        <v/>
      </c>
      <c r="C8" t="str" s="9">
        <f>""</f>
        <v/>
      </c>
      <c r="D8" t="str" s="9">
        <f>""</f>
        <v/>
      </c>
    </row>
    <row r="9" outlineLevel="1">
      <c r="A9" t="inlineStr" s="7">
        <is>
          <t xml:space="preserve">Sampled</t>
        </is>
      </c>
      <c r="B9" s="10">
        <f>IFERROR(('Month 6 reference (company, sel'!B5-'Month 6 reference (company, sel'!B7-'Month 6 reference (company, sel'!B6*'Verification and illustration p'!B6)/'Month 6 reference (company, sel'!B5,0)</f>
        <v>0.4327920449301956</v>
      </c>
      <c r="C9" s="10">
        <f>IFERROR(('Month 6 reference (company, sel'!B5-'Month 6 reference (company, sel'!B7-'Month 6 reference (company, sel'!B6*'Verification and illustration p'!C6)/'Month 6 reference (company, sel'!B5,0)</f>
        <v>0.6766269755267919</v>
      </c>
      <c r="D9" s="10">
        <f>IFERROR(('Month 6 reference (company, sel'!B5-'Month 6 reference (company, sel'!B7-'Month 6 reference (company, sel'!B6*'Verification and illustration p'!D6)/'Month 6 reference (company, sel'!B5,0)</f>
        <v>0.920461906123388</v>
      </c>
    </row>
    <row r="10" outlineLevel="1">
      <c r="A10" t="inlineStr" s="7">
        <is>
          <t xml:space="preserve">Verify all</t>
        </is>
      </c>
      <c r="B10" s="10">
        <f>IFERROR(('Month 6 reference (company, sel'!B5-'Month 6 reference (company, sel'!B7-'Month 6 reference (company, sel'!B6*'Verification and illustration p'!B7)/'Month 6 reference (company, sel'!B5,0)</f>
        <v>0.4281287018825357</v>
      </c>
      <c r="C10" s="10">
        <f>IFERROR(('Month 6 reference (company, sel'!B5-'Month 6 reference (company, sel'!B7-'Month 6 reference (company, sel'!B6*'Verification and illustration p'!C7)/'Month 6 reference (company, sel'!B5,0)</f>
        <v>0.6719636324791318</v>
      </c>
      <c r="D10" s="10">
        <f>IFERROR(('Month 6 reference (company, sel'!B5-'Month 6 reference (company, sel'!B7-'Month 6 reference (company, sel'!B6*'Verification and illustration p'!D7)/'Month 6 reference (company, sel'!B5,0)</f>
        <v>0.9157985630757282</v>
      </c>
    </row>
    <row r="11">
      <c r="A11" t="inlineStr" s="5">
        <is>
          <t xml:space="preserve">Clears the gross margin bar at month 6 (1 = yes)</t>
        </is>
      </c>
      <c r="B11" t="str" s="11">
        <f>""</f>
        <v/>
      </c>
      <c r="C11" t="str" s="11">
        <f>""</f>
        <v/>
      </c>
      <c r="D11" t="str" s="11">
        <f>""</f>
        <v/>
      </c>
    </row>
    <row r="12" outlineLevel="1">
      <c r="A12" t="inlineStr" s="7">
        <is>
          <t xml:space="preserve">Sampled</t>
        </is>
      </c>
      <c r="B12" s="12">
        <f>IF(IF(IF(ISERROR('Verification and illustration p'!B9&gt;='Model inputs'!C7),'Verification and illustration p'!B9&gt;='Model inputs'!C7,IF(OR('Verification and illustration p'!B9="",'Model inputs'!C7=""),"",'Verification and illustration p'!B9&gt;='Model inputs'!C7))="",FALSE,IF(ISERROR('Verification and illustration p'!B9&gt;='Model inputs'!C7),'Verification and illustration p'!B9&gt;='Model inputs'!C7,IF(OR('Verification and illustration p'!B9="",'Model inputs'!C7=""),"",'Verification and illustration p'!B9&gt;='Model inputs'!C7))),1,0)</f>
        <v>0</v>
      </c>
      <c r="C12" s="12">
        <f>IF(IF(IF(ISERROR('Verification and illustration p'!C9&gt;='Model inputs'!C7),'Verification and illustration p'!C9&gt;='Model inputs'!C7,IF(OR('Verification and illustration p'!C9="",'Model inputs'!C7=""),"",'Verification and illustration p'!C9&gt;='Model inputs'!C7))="",FALSE,IF(ISERROR('Verification and illustration p'!C9&gt;='Model inputs'!C7),'Verification and illustration p'!C9&gt;='Model inputs'!C7,IF(OR('Verification and illustration p'!C9="",'Model inputs'!C7=""),"",'Verification and illustration p'!C9&gt;='Model inputs'!C7))),1,0)</f>
        <v>1</v>
      </c>
      <c r="D12" s="12">
        <f>IF(IF(IF(ISERROR('Verification and illustration p'!D9&gt;='Model inputs'!C7),'Verification and illustration p'!D9&gt;='Model inputs'!C7,IF(OR('Verification and illustration p'!D9="",'Model inputs'!C7=""),"",'Verification and illustration p'!D9&gt;='Model inputs'!C7))="",FALSE,IF(ISERROR('Verification and illustration p'!D9&gt;='Model inputs'!C7),'Verification and illustration p'!D9&gt;='Model inputs'!C7,IF(OR('Verification and illustration p'!D9="",'Model inputs'!C7=""),"",'Verification and illustration p'!D9&gt;='Model inputs'!C7))),1,0)</f>
        <v>1</v>
      </c>
    </row>
    <row r="13" outlineLevel="1">
      <c r="A13" t="inlineStr" s="7">
        <is>
          <t xml:space="preserve">Verify all</t>
        </is>
      </c>
      <c r="B13" s="12">
        <f>IF(IF(IF(ISERROR('Verification and illustration p'!B10&gt;='Model inputs'!C7),'Verification and illustration p'!B10&gt;='Model inputs'!C7,IF(OR('Verification and illustration p'!B10="",'Model inputs'!C7=""),"",'Verification and illustration p'!B10&gt;='Model inputs'!C7))="",FALSE,IF(ISERROR('Verification and illustration p'!B10&gt;='Model inputs'!C7),'Verification and illustration p'!B10&gt;='Model inputs'!C7,IF(OR('Verification and illustration p'!B10="",'Model inputs'!C7=""),"",'Verification and illustration p'!B10&gt;='Model inputs'!C7))),1,0)</f>
        <v>0</v>
      </c>
      <c r="C13" s="12">
        <f>IF(IF(IF(ISERROR('Verification and illustration p'!C10&gt;='Model inputs'!C7),'Verification and illustration p'!C10&gt;='Model inputs'!C7,IF(OR('Verification and illustration p'!C10="",'Model inputs'!C7=""),"",'Verification and illustration p'!C10&gt;='Model inputs'!C7))="",FALSE,IF(ISERROR('Verification and illustration p'!C10&gt;='Model inputs'!C7),'Verification and illustration p'!C10&gt;='Model inputs'!C7,IF(OR('Verification and illustration p'!C10="",'Model inputs'!C7=""),"",'Verification and illustration p'!C10&gt;='Model inputs'!C7))),1,0)</f>
        <v>1</v>
      </c>
      <c r="D13" s="12">
        <f>IF(IF(IF(ISERROR('Verification and illustration p'!D10&gt;='Model inputs'!C7),'Verification and illustration p'!D10&gt;='Model inputs'!C7,IF(OR('Verification and illustration p'!D10="",'Model inputs'!C7=""),"",'Verification and illustration p'!D10&gt;='Model inputs'!C7))="",FALSE,IF(ISERROR('Verification and illustration p'!D10&gt;='Model inputs'!C7),'Verification and illustration p'!D10&gt;='Model inputs'!C7,IF(OR('Verification and illustration p'!D10="",'Model inputs'!C7=""),"",'Verification and illustration p'!D10&gt;='Model inputs'!C7))),1,0)</f>
        <v>1</v>
      </c>
    </row>
    <row r="14">
      <c r="A14" t="inlineStr" s="5">
        <is>
          <t xml:space="preserve">Headroom under the per-story budget (USD, derived)</t>
        </is>
      </c>
      <c r="B14" t="str" s="6">
        <f>""</f>
        <v/>
      </c>
      <c r="C14" t="str" s="6">
        <f>""</f>
        <v/>
      </c>
      <c r="D14" t="str" s="6">
        <f>""</f>
        <v/>
      </c>
    </row>
    <row r="15" outlineLevel="1">
      <c r="A15" t="inlineStr" s="7">
        <is>
          <t xml:space="preserve">Sampled</t>
        </is>
      </c>
      <c r="B15" s="8">
        <f>'Month 6 reference (company, sel'!B8-'Verification and illustration p'!B6</f>
        <v>-0.10971878699130963</v>
      </c>
      <c r="C15" s="8">
        <f>'Month 6 reference (company, sel'!B8-'Verification and illustration p'!C6</f>
        <v>0.05028121300869043</v>
      </c>
      <c r="D15" s="8">
        <f>'Month 6 reference (company, sel'!B8-'Verification and illustration p'!D6</f>
        <v>0.2102812130086904</v>
      </c>
    </row>
    <row r="16" outlineLevel="1">
      <c r="A16" t="inlineStr" s="7">
        <is>
          <t xml:space="preserve">Verify all</t>
        </is>
      </c>
      <c r="B16" s="8">
        <f>'Month 6 reference (company, sel'!B8-'Verification and illustration p'!B7</f>
        <v>-0.11277878699130958</v>
      </c>
      <c r="C16" s="8">
        <f>'Month 6 reference (company, sel'!B8-'Verification and illustration p'!C7</f>
        <v>0.04722121300869042</v>
      </c>
      <c r="D16" s="8">
        <f>'Month 6 reference (company, sel'!B8-'Verification and illustration p'!D7</f>
        <v>0.2072212130086904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B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Month 6 reference (company, selected policy)</t>
        </is>
      </c>
    </row>
    <row r="2" ht="20" customHeight="1">
      <c r="A2" t="inlineStr" s="2">
        <is>
          <t xml:space="preserve">Verification and illustration policy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Revenue at month 6 (USD, derived)</t>
        </is>
      </c>
      <c r="B5" s="13">
        <f>SUM('Model inputs'!B19,'Model inputs'!B20)</f>
        <v>847.7169891010365</v>
      </c>
    </row>
    <row r="6">
      <c r="A6" t="inlineStr" s="14">
        <is>
          <t xml:space="preserve">Stories delivered at month 6 (derived)</t>
        </is>
      </c>
      <c r="B6" s="12">
        <f>SUM('Model inputs'!B31,'Model inputs'!B32)</f>
        <v>1291.893832518792</v>
      </c>
    </row>
    <row r="7">
      <c r="A7" t="inlineStr" s="14">
        <is>
          <t xml:space="preserve">Hosting and neatlogs at month 6 (USD, derived)</t>
        </is>
      </c>
      <c r="B7" s="15">
        <f>'Model inputs'!D11+'Model inputs'!B12</f>
        <v>25</v>
      </c>
    </row>
    <row r="8">
      <c r="A8" t="inlineStr" s="14">
        <is>
          <t xml:space="preserve">Per-story budget that clears the bar at month 6 (USD, derived)</t>
        </is>
      </c>
      <c r="B8" s="8">
        <f>IFERROR(('Month 6 reference (company, sel'!B5*(1-'Model inputs'!C7)-'Month 6 reference (company, sel'!B7)/'Month 6 reference (company, sel'!B6,0)</f>
        <v>0.2431212130086904</v>
      </c>
    </row>
    <row r="9">
      <c r="A9" t="inlineStr" s="14">
        <is>
          <t xml:space="preserve">Gross margin at month 6, selected policy (monthly table)</t>
        </is>
      </c>
      <c r="B9" s="10">
        <f>IF('Model inputs'!B6="","",'Model inputs'!B6)</f>
        <v>0.6719636324791318</v>
      </c>
    </row>
    <row r="10">
      <c r="A10" t="inlineStr" s="14">
        <is>
          <t xml:space="preserve">Gross margin at month 6, selected policy (policy arithmetic)</t>
        </is>
      </c>
      <c r="B10" s="10">
        <f>IFERROR(('Month 6 reference (company, sel'!B5-'Month 6 reference (company, sel'!B7-'Month 6 reference (company, sel'!B6*'Selected policy'!B5)/'Month 6 reference (company, sel'!B5,0)</f>
        <v>0.6719636324791318</v>
      </c>
    </row>
    <row r="11">
      <c r="A11" t="inlineStr" s="5">
        <is>
          <t xml:space="preserve">Reconciliation difference (should be 0)</t>
        </is>
      </c>
      <c r="B11" s="16">
        <f>'Month 6 reference (company, sel'!B9-'Month 6 reference (company, sel'!B10</f>
        <v>0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B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Selected policy</t>
        </is>
      </c>
    </row>
    <row r="2" ht="20" customHeight="1">
      <c r="A2" t="inlineStr" s="2">
        <is>
          <t xml:space="preserve">Verification and illustration policy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Cost per story, selected policy (USD, estimate)</t>
        </is>
      </c>
      <c r="B5" s="6">
        <f>SUM('Model inputs'!D28,'Model inputs'!D29)+SUM('Model inputs'!D24,'Model inputs'!D25,'Model inputs'!D26)</f>
        <v>0.1959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P153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7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2027-03</t>
        </is>
      </c>
      <c r="C5" t="inlineStr" s="4">
        <is>
          <t xml:space="preserve">Value</t>
        </is>
      </c>
      <c r="D5" t="inlineStr" s="4">
        <is>
          <t xml:space="preserve">Value</t>
        </is>
      </c>
      <c r="E5" t="inlineStr" s="4">
        <is>
          <t xml:space="preserve">2026-09</t>
        </is>
      </c>
      <c r="F5" t="inlineStr" s="18">
        <is>
          <t xml:space="preserve">2026-10</t>
        </is>
      </c>
      <c r="G5" t="inlineStr" s="4">
        <is>
          <t xml:space="preserve">2026-11</t>
        </is>
      </c>
      <c r="H5" t="inlineStr" s="4">
        <is>
          <t xml:space="preserve">2026-12</t>
        </is>
      </c>
      <c r="I5" t="inlineStr" s="18">
        <is>
          <t xml:space="preserve">2027-01</t>
        </is>
      </c>
      <c r="J5" t="inlineStr" s="4">
        <is>
          <t xml:space="preserve">2027-02</t>
        </is>
      </c>
      <c r="K5" t="inlineStr" s="18">
        <is>
          <t xml:space="preserve">2027-04</t>
        </is>
      </c>
      <c r="L5" t="inlineStr" s="4">
        <is>
          <t xml:space="preserve">2027-05</t>
        </is>
      </c>
      <c r="M5" t="inlineStr" s="4">
        <is>
          <t xml:space="preserve">2027-06</t>
        </is>
      </c>
      <c r="N5" t="inlineStr" s="18">
        <is>
          <t xml:space="preserve">2027-07</t>
        </is>
      </c>
      <c r="O5" t="inlineStr" s="4">
        <is>
          <t xml:space="preserve">2027-08</t>
        </is>
      </c>
      <c r="P5" t="inlineStr" s="4">
        <is>
          <t xml:space="preserve">2027-09</t>
        </is>
      </c>
    </row>
    <row r="6">
      <c r="A6" t="inlineStr" s="19">
        <is>
          <t xml:space="preserve">Gross margin</t>
        </is>
      </c>
      <c r="B6" s="10">
        <f>IFERROR('Model inputs'!B50/'Model inputs'!B18,0)</f>
        <v>0.6719636324791318</v>
      </c>
    </row>
    <row r="7">
      <c r="A7" t="inlineStr" s="19">
        <is>
          <t xml:space="preserve">Gross margin bar (ours, stated) · Verification and illustration policy: cost, margin and bar</t>
        </is>
      </c>
      <c r="C7" s="20">
        <f>0.6</f>
        <v>0.6</v>
      </c>
    </row>
    <row r="8">
      <c r="A8" t="inlineStr" s="19">
        <is>
          <t xml:space="preserve">Gross margin bar (ours, stated) · Month 6 reference (company, selected policy)</t>
        </is>
      </c>
      <c r="D8" s="20">
        <f>'Model inputs'!C7</f>
        <v>0.6</v>
      </c>
    </row>
    <row r="9">
      <c r="A9" t="inlineStr" s="19">
        <is>
          <t xml:space="preserve">Hosting and neatlogs at month 6 (USD, derived) · Verification and illustration policy: cost, margin and bar</t>
        </is>
      </c>
      <c r="C9" s="15">
        <f>'Model inputs'!D11+'Model inputs'!B12</f>
        <v>25</v>
      </c>
    </row>
    <row r="10">
      <c r="A10" t="inlineStr" s="19">
        <is>
          <t xml:space="preserve">Hosting and neatlogs at month 6 (USD, derived) · Month 6 reference (company, selected policy)</t>
        </is>
      </c>
      <c r="D10" s="15">
        <f>'Model inputs'!D11+'Model inputs'!B12</f>
        <v>25</v>
      </c>
    </row>
    <row r="11">
      <c r="A11" t="inlineStr" s="19">
        <is>
          <t xml:space="preserve">Hosting per month (USD, assumed) · Month 6 reference (company, selected policy)</t>
        </is>
      </c>
      <c r="D11" s="15">
        <f>25</f>
        <v>25</v>
      </c>
    </row>
    <row r="12">
      <c r="A12" t="inlineStr" s="19">
        <is>
          <t xml:space="preserve">neatlogs bill (USD, derived) · Month 6 reference (company, selected policy)</t>
        </is>
      </c>
      <c r="B12" s="15">
        <f>IF(IF(IF(ISERROR('Model inputs'!C55=1),'Model inputs'!C55=1,IF('Model inputs'!C55="","",'Model inputs'!C55=1))="",FALSE,IF(ISERROR('Model inputs'!C55=1),'Model inputs'!C55=1,IF('Model inputs'!C55="","",'Model inputs'!C55=1))),0,IF(IF(IF(ISERROR('Model inputs'!B75&lt;='Model inputs'!C56),'Model inputs'!B75&lt;='Model inputs'!C56,IF(OR('Model inputs'!B75="",'Model inputs'!C56=""),"",'Model inputs'!B75&lt;='Model inputs'!C56))="",FALSE,IF(ISERROR('Model inputs'!B75&lt;='Model inputs'!C56),'Model inputs'!B75&lt;='Model inputs'!C56,IF(OR('Model inputs'!B75="",'Model inputs'!C56=""),"",'Model inputs'!B75&lt;='Model inputs'!C56))),0,IF(IF(IF(ISERROR('Model inputs'!B75&lt;='Model inputs'!C58),'Model inputs'!B75&lt;='Model inputs'!C58,IF(OR('Model inputs'!B75="",'Model inputs'!C58=""),"",'Model inputs'!B75&lt;='Model inputs'!C58))="",FALSE,IF(ISERROR('Model inputs'!B75&lt;='Model inputs'!C58),'Model inputs'!B75&lt;='Model inputs'!C58,IF(OR('Model inputs'!B75="",'Model inputs'!C58=""),"",'Model inputs'!B75&lt;='Model inputs'!C58))),IF('Model inputs'!C59="","",'Model inputs'!C59),'Model inputs'!C59+CEILING(('Model inputs'!B75-'Model inputs'!C58)/100000,1)*'Model inputs'!C57)))</f>
        <v>0</v>
      </c>
    </row>
    <row r="13">
      <c r="A13" t="inlineStr" s="19">
        <is>
          <t xml:space="preserve">Per-story budget that clears the bar at month 6 (USD, derived)</t>
        </is>
      </c>
      <c r="C13" s="8">
        <f>IFERROR(('Model inputs'!C21*(1-'Model inputs'!C7)-'Model inputs'!C9)/'Model inputs'!C33,0)</f>
        <v>0.2431212130086904</v>
      </c>
    </row>
    <row r="14">
      <c r="A14" t="inlineStr" s="19">
        <is>
          <t xml:space="preserve">Picture and narration cost per story (USD, derived)</t>
        </is>
      </c>
      <c r="C14" s="6">
        <f>'Model inputs'!C67*'Model inputs'!C43+'Model inputs'!C41*'Model inputs'!C42</f>
        <v>0.016</v>
      </c>
    </row>
    <row r="15" outlineLevel="1">
      <c r="A15" t="inlineStr" s="21">
        <is>
          <t xml:space="preserve">Picture and narration cost per story (USD, derived) &gt; Full (8 pictures)</t>
        </is>
      </c>
      <c r="C15" s="8">
        <f>'Model inputs'!C68*'Model inputs'!C43+'Model inputs'!C41*'Model inputs'!C42</f>
        <v>0.336</v>
      </c>
    </row>
    <row r="16" outlineLevel="1">
      <c r="A16" t="inlineStr" s="21">
        <is>
          <t xml:space="preserve">Picture and narration cost per story (USD, derived) &gt; Half (4 pictures)</t>
        </is>
      </c>
      <c r="C16" s="8">
        <f>'Model inputs'!C69*'Model inputs'!C43+'Model inputs'!C41*'Model inputs'!C42</f>
        <v>0.176</v>
      </c>
    </row>
    <row r="17" outlineLevel="1">
      <c r="A17" t="inlineStr" s="21">
        <is>
          <t xml:space="preserve">Picture and narration cost per story (USD, derived) &gt; Text only (0)</t>
        </is>
      </c>
      <c r="C17" s="8">
        <f>'Model inputs'!C70*'Model inputs'!C43+'Model inputs'!C41*'Model inputs'!C42</f>
        <v>0.016</v>
      </c>
    </row>
    <row r="18">
      <c r="A18" t="inlineStr" s="19">
        <is>
          <t xml:space="preserve">Revenue (USD)</t>
        </is>
      </c>
      <c r="B18" s="13">
        <f>SUM('Model inputs'!B19,'Model inputs'!B20)</f>
        <v>847.7169891010365</v>
      </c>
      <c r="E18" s="13">
        <f>SUM('Model inputs'!E19,'Model inputs'!E20)</f>
        <v>0</v>
      </c>
      <c r="F18" s="13">
        <f>SUM('Model inputs'!F19,'Model inputs'!F20)</f>
        <v>623.452</v>
      </c>
      <c r="G18" s="13">
        <f>SUM('Model inputs'!G19,'Model inputs'!G20)</f>
        <v>674.0108399999999</v>
      </c>
      <c r="H18" s="13">
        <f>SUM('Model inputs'!H19,'Model inputs'!H20)</f>
        <v>721.5095228</v>
      </c>
      <c r="I18" s="13">
        <f>SUM('Model inputs'!I19,'Model inputs'!I20)</f>
        <v>766.163324476</v>
      </c>
      <c r="J18" s="13">
        <f>SUM('Model inputs'!J19,'Model inputs'!J20)</f>
        <v>808.17118511292</v>
      </c>
      <c r="K18" s="13">
        <f>SUM('Model inputs'!K19,'Model inputs'!K20)</f>
        <v>884.9707438061889</v>
      </c>
      <c r="L18" s="13">
        <f>SUM('Model inputs'!L19,'Model inputs'!L20)</f>
        <v>920.0896647199322</v>
      </c>
      <c r="M18" s="13">
        <f>SUM('Model inputs'!M19,'Model inputs'!M20)</f>
        <v>953.2191745480288</v>
      </c>
      <c r="N18" s="13">
        <f>SUM('Model inputs'!N19,'Model inputs'!N20)</f>
        <v>984.493823099707</v>
      </c>
      <c r="O18" s="13">
        <f>SUM('Model inputs'!O19,'Model inputs'!O20)</f>
        <v>1014.0381342917855</v>
      </c>
      <c r="P18" s="13">
        <f>SUM('Model inputs'!P19,'Model inputs'!P20)</f>
        <v>1041.967386077296</v>
      </c>
    </row>
    <row r="19" outlineLevel="1">
      <c r="A19" t="inlineStr" s="21">
        <is>
          <t xml:space="preserve">Revenue (USD) &gt; Classroom</t>
        </is>
      </c>
      <c r="B19" s="15">
        <f>'Model inputs'!B80+'Model inputs'!B61</f>
        <v>403.02227666471003</v>
      </c>
      <c r="E19" s="15">
        <f>0</f>
        <v>0</v>
      </c>
      <c r="F19" s="15">
        <f>'Model inputs'!F80+'Model inputs'!F61</f>
        <v>310.29999999999995</v>
      </c>
      <c r="G19" s="15">
        <f>'Model inputs'!G80+'Model inputs'!G61</f>
        <v>329.991</v>
      </c>
      <c r="H19" s="15">
        <f>'Model inputs'!H80+'Model inputs'!H61</f>
        <v>349.09127</v>
      </c>
      <c r="I19" s="15">
        <f>'Model inputs'!I80+'Model inputs'!I61</f>
        <v>367.6185319</v>
      </c>
      <c r="J19" s="15">
        <f>'Model inputs'!J80+'Model inputs'!J61</f>
        <v>385.589975943</v>
      </c>
      <c r="K19" s="15">
        <f>'Model inputs'!K80+'Model inputs'!K61</f>
        <v>419.9316083647687</v>
      </c>
      <c r="L19" s="15">
        <f>'Model inputs'!L80+'Model inputs'!L61</f>
        <v>436.33366011382566</v>
      </c>
      <c r="M19" s="15">
        <f>'Model inputs'!M80+'Model inputs'!M61</f>
        <v>452.2436503104108</v>
      </c>
      <c r="N19" s="15">
        <f>'Model inputs'!N80+'Model inputs'!N61</f>
        <v>467.67634080109855</v>
      </c>
      <c r="O19" s="15">
        <f>'Model inputs'!O80+'Model inputs'!O61</f>
        <v>482.6460505770656</v>
      </c>
      <c r="P19" s="15">
        <f>'Model inputs'!P80+'Model inputs'!P61</f>
        <v>497.16666905975364</v>
      </c>
    </row>
    <row r="20" outlineLevel="1">
      <c r="A20" t="inlineStr" s="21">
        <is>
          <t xml:space="preserve">Revenue (USD) &gt; Household</t>
        </is>
      </c>
      <c r="B20" s="15">
        <f>'Model inputs'!B81+'Model inputs'!B62</f>
        <v>444.69471243632637</v>
      </c>
      <c r="E20" s="15">
        <f>0</f>
        <v>0</v>
      </c>
      <c r="F20" s="15">
        <f>'Model inputs'!F81+'Model inputs'!F62</f>
        <v>313.152</v>
      </c>
      <c r="G20" s="15">
        <f>'Model inputs'!G81+'Model inputs'!G62</f>
        <v>344.01984</v>
      </c>
      <c r="H20" s="15">
        <f>'Model inputs'!H81+'Model inputs'!H62</f>
        <v>372.41825279999995</v>
      </c>
      <c r="I20" s="15">
        <f>'Model inputs'!I81+'Model inputs'!I62</f>
        <v>398.54479257599996</v>
      </c>
      <c r="J20" s="15">
        <f>'Model inputs'!J81+'Model inputs'!J62</f>
        <v>422.58120916992</v>
      </c>
      <c r="K20" s="15">
        <f>'Model inputs'!K81+'Model inputs'!K62</f>
        <v>465.0391354414202</v>
      </c>
      <c r="L20" s="15">
        <f>'Model inputs'!L81+'Model inputs'!L62</f>
        <v>483.75600460610656</v>
      </c>
      <c r="M20" s="15">
        <f>'Model inputs'!M81+'Model inputs'!M62</f>
        <v>500.97552423761806</v>
      </c>
      <c r="N20" s="15">
        <f>'Model inputs'!N81+'Model inputs'!N62</f>
        <v>516.8174822986085</v>
      </c>
      <c r="O20" s="15">
        <f>'Model inputs'!O81+'Model inputs'!O62</f>
        <v>531.3920837147199</v>
      </c>
      <c r="P20" s="15">
        <f>'Model inputs'!P81+'Model inputs'!P62</f>
        <v>544.8007170175423</v>
      </c>
    </row>
    <row r="21">
      <c r="A21" t="inlineStr" s="19">
        <is>
          <t xml:space="preserve">Revenue at month 6 (USD, derived) · Verification and illustration policy: cost, margin and bar</t>
        </is>
      </c>
      <c r="C21" s="15">
        <f>SUM('Model inputs'!B19,'Model inputs'!B20)</f>
        <v>847.7169891010365</v>
      </c>
    </row>
    <row r="22">
      <c r="A22" t="inlineStr" s="19">
        <is>
          <t xml:space="preserve">Revenue at month 6 (USD, derived) · Month 6 reference (company, selected policy)</t>
        </is>
      </c>
      <c r="D22" s="15">
        <f>SUM('Model inputs'!B19,'Model inputs'!B20)</f>
        <v>847.7169891010365</v>
      </c>
    </row>
    <row r="23">
      <c r="A23" t="inlineStr" s="19">
        <is>
          <t xml:space="preserve">Selected picture and narration cost (USD, derived)</t>
        </is>
      </c>
      <c r="D23" s="6">
        <f>'Model inputs'!C14*'Model inputs'!D51</f>
        <v>0</v>
      </c>
    </row>
    <row r="24" outlineLevel="1">
      <c r="A24" t="inlineStr" s="21">
        <is>
          <t xml:space="preserve">Selected picture and narration cost (USD, derived) &gt; Full (8 pictures)</t>
        </is>
      </c>
      <c r="D24" s="8">
        <f>'Model inputs'!C15*'Model inputs'!D52</f>
        <v>0</v>
      </c>
    </row>
    <row r="25" outlineLevel="1">
      <c r="A25" t="inlineStr" s="21">
        <is>
          <t xml:space="preserve">Selected picture and narration cost (USD, derived) &gt; Half (4 pictures)</t>
        </is>
      </c>
      <c r="D25" s="8">
        <f>'Model inputs'!C16*'Model inputs'!D53</f>
        <v>0.176</v>
      </c>
    </row>
    <row r="26" outlineLevel="1">
      <c r="A26" t="inlineStr" s="21">
        <is>
          <t xml:space="preserve">Selected picture and narration cost (USD, derived) &gt; Text only (0)</t>
        </is>
      </c>
      <c r="D26" s="8">
        <f>'Model inputs'!C17*'Model inputs'!D54</f>
        <v>0</v>
      </c>
    </row>
    <row r="27">
      <c r="A27" t="inlineStr" s="19">
        <is>
          <t xml:space="preserve">Selected text and verification cost (USD, derived)</t>
        </is>
      </c>
      <c r="D27" s="6">
        <f>'Model inputs'!C35*'Model inputs'!D85</f>
        <v>0</v>
      </c>
    </row>
    <row r="28" outlineLevel="1">
      <c r="A28" t="inlineStr" s="21">
        <is>
          <t xml:space="preserve">Selected text and verification cost (USD, derived) &gt; Sampled</t>
        </is>
      </c>
      <c r="D28" s="8">
        <f>'Model inputs'!C36*'Model inputs'!D86</f>
        <v>0</v>
      </c>
    </row>
    <row r="29" outlineLevel="1">
      <c r="A29" t="inlineStr" s="21">
        <is>
          <t xml:space="preserve">Selected text and verification cost (USD, derived) &gt; Verify all</t>
        </is>
      </c>
      <c r="D29" s="8">
        <f>'Model inputs'!C37*'Model inputs'!D87</f>
        <v>0.0199</v>
      </c>
    </row>
    <row r="30">
      <c r="A30" t="inlineStr" s="19">
        <is>
          <t xml:space="preserve">Stories delivered</t>
        </is>
      </c>
      <c r="B30" s="11">
        <f>SUM('Model inputs'!B31,'Model inputs'!B32)</f>
        <v>1291.893832518792</v>
      </c>
      <c r="E30" s="11">
        <f>SUM('Model inputs'!E31,'Model inputs'!E32)</f>
        <v>0</v>
      </c>
      <c r="F30" s="11">
        <f>SUM('Model inputs'!F31,'Model inputs'!F32)</f>
        <v>964.56</v>
      </c>
      <c r="G30" s="11">
        <f>SUM('Model inputs'!G31,'Model inputs'!G32)</f>
        <v>1037.0952</v>
      </c>
      <c r="H30" s="11">
        <f>SUM('Model inputs'!H31,'Model inputs'!H32)</f>
        <v>1105.864584</v>
      </c>
      <c r="I30" s="11">
        <f>SUM('Model inputs'!I31,'Model inputs'!I32)</f>
        <v>1171.10830728</v>
      </c>
      <c r="J30" s="11">
        <f>SUM('Model inputs'!J31,'Model inputs'!J32)</f>
        <v>1233.0491459976</v>
      </c>
      <c r="K30" s="11">
        <f>SUM('Model inputs'!K31,'Model inputs'!K32)</f>
        <v>1347.8342855722585</v>
      </c>
      <c r="L30" s="11">
        <f>SUM('Model inputs'!L31,'Model inputs'!L32)</f>
        <v>1401.0487435917987</v>
      </c>
      <c r="M30" s="11">
        <f>SUM('Model inputs'!M31,'Model inputs'!M32)</f>
        <v>1451.7028089438159</v>
      </c>
      <c r="N30" s="11">
        <f>SUM('Model inputs'!N31,'Model inputs'!N32)</f>
        <v>1499.9504101224911</v>
      </c>
      <c r="O30" s="11">
        <f>SUM('Model inputs'!O31,'Model inputs'!O32)</f>
        <v>1545.934688430047</v>
      </c>
      <c r="P30" s="11">
        <f>SUM('Model inputs'!P31,'Model inputs'!P32)</f>
        <v>1589.7888151394773</v>
      </c>
    </row>
    <row r="31" outlineLevel="1">
      <c r="A31" t="inlineStr" s="21">
        <is>
          <t xml:space="preserve">Stories delivered &gt; Classroom</t>
        </is>
      </c>
      <c r="B31" s="12">
        <f>'Model inputs'!B48*'Model inputs'!C77</f>
        <v>833.8391930994001</v>
      </c>
      <c r="E31" s="12">
        <f>0</f>
        <v>0</v>
      </c>
      <c r="F31" s="12">
        <f>'Model inputs'!F48*'Model inputs'!C77</f>
        <v>642</v>
      </c>
      <c r="G31" s="12">
        <f>'Model inputs'!G48*'Model inputs'!C77</f>
        <v>682.74</v>
      </c>
      <c r="H31" s="12">
        <f>'Model inputs'!H48*'Model inputs'!C77</f>
        <v>722.2578</v>
      </c>
      <c r="I31" s="12">
        <f>'Model inputs'!I48*'Model inputs'!C77</f>
        <v>760.590066</v>
      </c>
      <c r="J31" s="12">
        <f>'Model inputs'!J48*'Model inputs'!C77</f>
        <v>797.7723640199999</v>
      </c>
      <c r="K31" s="12">
        <f>'Model inputs'!K48*'Model inputs'!C77</f>
        <v>868.824017306418</v>
      </c>
      <c r="L31" s="12">
        <f>'Model inputs'!L48*'Model inputs'!C77</f>
        <v>902.7592967872255</v>
      </c>
      <c r="M31" s="12">
        <f>'Model inputs'!M48*'Model inputs'!C77</f>
        <v>935.6765178836087</v>
      </c>
      <c r="N31" s="12">
        <f>'Model inputs'!N48*'Model inputs'!C77</f>
        <v>967.6062223471004</v>
      </c>
      <c r="O31" s="12">
        <f>'Model inputs'!O48*'Model inputs'!C77</f>
        <v>998.5780356766874</v>
      </c>
      <c r="P31" s="12">
        <f>'Model inputs'!P48*'Model inputs'!C77</f>
        <v>1028.6206946063867</v>
      </c>
    </row>
    <row r="32" outlineLevel="1">
      <c r="A32" t="inlineStr" s="21">
        <is>
          <t xml:space="preserve">Stories delivered &gt; Household</t>
        </is>
      </c>
      <c r="B32" s="12">
        <f>'Model inputs'!B49*'Model inputs'!C78</f>
        <v>458.0546394193919</v>
      </c>
      <c r="E32" s="12">
        <f>0</f>
        <v>0</v>
      </c>
      <c r="F32" s="12">
        <f>'Model inputs'!F49*'Model inputs'!C78</f>
        <v>322.55999999999995</v>
      </c>
      <c r="G32" s="12">
        <f>'Model inputs'!G49*'Model inputs'!C78</f>
        <v>354.3551999999999</v>
      </c>
      <c r="H32" s="12">
        <f>'Model inputs'!H49*'Model inputs'!C78</f>
        <v>383.6067839999999</v>
      </c>
      <c r="I32" s="12">
        <f>'Model inputs'!I49*'Model inputs'!C78</f>
        <v>410.5182412799999</v>
      </c>
      <c r="J32" s="12">
        <f>'Model inputs'!J49*'Model inputs'!C78</f>
        <v>435.2767819775999</v>
      </c>
      <c r="K32" s="12">
        <f>'Model inputs'!K49*'Model inputs'!C78</f>
        <v>479.0102682658405</v>
      </c>
      <c r="L32" s="12">
        <f>'Model inputs'!L49*'Model inputs'!C78</f>
        <v>498.28944680457323</v>
      </c>
      <c r="M32" s="12">
        <f>'Model inputs'!M49*'Model inputs'!C78</f>
        <v>516.0262910602073</v>
      </c>
      <c r="N32" s="12">
        <f>'Model inputs'!N49*'Model inputs'!C78</f>
        <v>532.3441877753908</v>
      </c>
      <c r="O32" s="12">
        <f>'Model inputs'!O49*'Model inputs'!C78</f>
        <v>547.3566527533595</v>
      </c>
      <c r="P32" s="12">
        <f>'Model inputs'!P49*'Model inputs'!C78</f>
        <v>561.1681205330907</v>
      </c>
    </row>
    <row r="33">
      <c r="A33" t="inlineStr" s="19">
        <is>
          <t xml:space="preserve">Stories delivered at month 6 (derived) · Verification and illustration policy: cost, margin and bar</t>
        </is>
      </c>
      <c r="C33" s="12">
        <f>SUM('Model inputs'!B31,'Model inputs'!B32)</f>
        <v>1291.893832518792</v>
      </c>
    </row>
    <row r="34">
      <c r="A34" t="inlineStr" s="19">
        <is>
          <t xml:space="preserve">Stories delivered at month 6 (derived) · Month 6 reference (company, selected policy)</t>
        </is>
      </c>
      <c r="D34" s="12">
        <f>SUM('Model inputs'!B31,'Model inputs'!B32)</f>
        <v>1291.893832518792</v>
      </c>
    </row>
    <row r="35">
      <c r="A35" t="inlineStr" s="19">
        <is>
          <t xml:space="preserve">Text and verification cost per story (USD, derived)</t>
        </is>
      </c>
      <c r="C35" s="6">
        <f>'Model inputs'!C45+'Model inputs'!C72*('Model inputs'!C46-'Model inputs'!C45)</f>
        <v>0.01684</v>
      </c>
    </row>
    <row r="36" outlineLevel="1">
      <c r="A36" t="inlineStr" s="21">
        <is>
          <t xml:space="preserve">Text and verification cost per story (USD, derived) &gt; Sampled</t>
        </is>
      </c>
      <c r="C36" s="8">
        <f>'Model inputs'!C45+'Model inputs'!C73*('Model inputs'!C46-'Model inputs'!C45)</f>
        <v>0.01684</v>
      </c>
    </row>
    <row r="37" outlineLevel="1">
      <c r="A37" t="inlineStr" s="21">
        <is>
          <t xml:space="preserve">Text and verification cost per story (USD, derived) &gt; Verify all</t>
        </is>
      </c>
      <c r="C37" s="8">
        <f>'Model inputs'!C45+'Model inputs'!C74*('Model inputs'!C46-'Model inputs'!C45)</f>
        <v>0.0199</v>
      </c>
    </row>
    <row r="38">
      <c r="A38" t="inlineStr" s="19">
        <is>
          <t xml:space="preserve">Video cost per story (USD, derived)</t>
        </is>
      </c>
      <c r="C38" s="22">
        <f>'Model inputs'!C88*('Model inputs'!C71*'Model inputs'!C89*'Model inputs'!C90+'Model inputs'!C39)</f>
        <v>0</v>
      </c>
    </row>
    <row r="39">
      <c r="A39" t="inlineStr" s="19">
        <is>
          <t xml:space="preserve">Clip check cost per clip (USD, two judges, estimate)</t>
        </is>
      </c>
      <c r="C39" s="22">
        <f>0.02</f>
        <v>0.02</v>
      </c>
    </row>
    <row r="40">
      <c r="A40" t="inlineStr" s="19">
        <is>
          <t xml:space="preserve">Cost input value</t>
        </is>
      </c>
      <c r="C40" s="23">
        <v>0</v>
      </c>
    </row>
    <row r="41" outlineLevel="1">
      <c r="A41" t="inlineStr" s="21">
        <is>
          <t xml:space="preserve">Cost input value &gt; Narration price per page</t>
        </is>
      </c>
      <c r="C41" s="24">
        <f>0.002</f>
        <v>0.002</v>
      </c>
    </row>
    <row r="42" outlineLevel="1">
      <c r="A42" t="inlineStr" s="21">
        <is>
          <t xml:space="preserve">Cost input value &gt; Pages per story</t>
        </is>
      </c>
      <c r="C42" s="24">
        <f>8</f>
        <v>8</v>
      </c>
    </row>
    <row r="43" outlineLevel="1">
      <c r="A43" t="inlineStr" s="21">
        <is>
          <t xml:space="preserve">Cost input value &gt; Picture price each</t>
        </is>
      </c>
      <c r="C43" s="24">
        <f>0.04</f>
        <v>0.04</v>
      </c>
    </row>
    <row r="44" outlineLevel="1">
      <c r="A44" t="inlineStr" s="21">
        <is>
          <t xml:space="preserve">Cost input value &gt; Sampled share of gated uplift</t>
        </is>
      </c>
      <c r="C44" s="24">
        <f>0.7</f>
        <v>0.7</v>
      </c>
    </row>
    <row r="45" outlineLevel="1">
      <c r="A45" t="inlineStr" s="21">
        <is>
          <t xml:space="preserve">Cost input value &gt; Text and verification B0 ungated</t>
        </is>
      </c>
      <c r="C45" s="24">
        <f>0.0097</f>
        <v>0.0097</v>
      </c>
    </row>
    <row r="46" outlineLevel="1">
      <c r="A46" t="inlineStr" s="21">
        <is>
          <t xml:space="preserve">Cost input value &gt; Text and verification B1 gated</t>
        </is>
      </c>
      <c r="C46" s="24">
        <f>0.0199</f>
        <v>0.0199</v>
      </c>
    </row>
    <row r="47">
      <c r="A47" t="inlineStr" s="19">
        <is>
          <t xml:space="preserve">Ending customers</t>
        </is>
      </c>
      <c r="B47" s="25">
        <f>SUM('Model inputs'!B48,'Model inputs'!B49)</f>
        <v>77.51601980435</v>
      </c>
      <c r="E47" s="25">
        <f>SUM('Model inputs'!E48,'Model inputs'!E49)</f>
        <v>50</v>
      </c>
      <c r="F47" s="25">
        <f>SUM('Model inputs'!F48,'Model inputs'!F49)</f>
        <v>55.5</v>
      </c>
      <c r="G47" s="25">
        <f>SUM('Model inputs'!G48,'Model inputs'!G49)</f>
        <v>60.59499999999999</v>
      </c>
      <c r="H47" s="25">
        <f>SUM('Model inputs'!H48,'Model inputs'!H49)</f>
        <v>65.31635</v>
      </c>
      <c r="I47" s="25">
        <f>SUM('Model inputs'!I48,'Model inputs'!I49)</f>
        <v>69.69292349999999</v>
      </c>
      <c r="J47" s="25">
        <f>SUM('Model inputs'!J48,'Model inputs'!J49)</f>
        <v>73.751314675</v>
      </c>
      <c r="K47" s="25">
        <f>SUM('Model inputs'!K48,'Model inputs'!K49)</f>
        <v>81.00960421425148</v>
      </c>
      <c r="L47" s="25">
        <f>SUM('Model inputs'!L48,'Model inputs'!L49)</f>
        <v>84.25285589153339</v>
      </c>
      <c r="M47" s="25">
        <f>SUM('Model inputs'!M48,'Model inputs'!M49)</f>
        <v>87.26492683420005</v>
      </c>
      <c r="N47" s="25">
        <f>SUM('Model inputs'!N48,'Model inputs'!N49)</f>
        <v>90.06346311903373</v>
      </c>
      <c r="O47" s="25">
        <f>SUM('Model inputs'!O48,'Model inputs'!O49)</f>
        <v>92.66472458813362</v>
      </c>
      <c r="P47" s="25">
        <f>SUM('Model inputs'!P48,'Model inputs'!P49)</f>
        <v>95.08369498414683</v>
      </c>
    </row>
    <row r="48" outlineLevel="1">
      <c r="A48" t="inlineStr" s="21">
        <is>
          <t xml:space="preserve">Ending customers &gt; Classroom</t>
        </is>
      </c>
      <c r="B48" s="26">
        <f>'Model inputs'!J48+'Model inputs'!B99-'Model inputs'!B93</f>
        <v>13.89731988499</v>
      </c>
      <c r="E48" s="26">
        <f>IF('Model inputs'!C109="","",'Model inputs'!C109)</f>
        <v>10</v>
      </c>
      <c r="F48" s="26">
        <f>'Model inputs'!E48+'Model inputs'!F99-'Model inputs'!F93</f>
        <v>10.7</v>
      </c>
      <c r="G48" s="26">
        <f>'Model inputs'!F48+'Model inputs'!G99-'Model inputs'!G93</f>
        <v>11.379</v>
      </c>
      <c r="H48" s="26">
        <f>'Model inputs'!G48+'Model inputs'!H99-'Model inputs'!H93</f>
        <v>12.03763</v>
      </c>
      <c r="I48" s="26">
        <f>'Model inputs'!H48+'Model inputs'!I99-'Model inputs'!I93</f>
        <v>12.6765011</v>
      </c>
      <c r="J48" s="26">
        <f>'Model inputs'!I48+'Model inputs'!J99-'Model inputs'!J93</f>
        <v>13.296206067</v>
      </c>
      <c r="K48" s="26">
        <f>'Model inputs'!B48+'Model inputs'!K99-'Model inputs'!K93</f>
        <v>14.4804002884403</v>
      </c>
      <c r="L48" s="26">
        <f>'Model inputs'!K48+'Model inputs'!L99-'Model inputs'!L93</f>
        <v>15.04598827978709</v>
      </c>
      <c r="M48" s="26">
        <f>'Model inputs'!L48+'Model inputs'!M99-'Model inputs'!M93</f>
        <v>15.594608631393477</v>
      </c>
      <c r="N48" s="26">
        <f>'Model inputs'!M48+'Model inputs'!N99-'Model inputs'!N93</f>
        <v>16.126770372451674</v>
      </c>
      <c r="O48" s="26">
        <f>'Model inputs'!N48+'Model inputs'!O99-'Model inputs'!O93</f>
        <v>16.642967261278123</v>
      </c>
      <c r="P48" s="26">
        <f>'Model inputs'!O48+'Model inputs'!P99-'Model inputs'!P93</f>
        <v>17.14367824343978</v>
      </c>
    </row>
    <row r="49" outlineLevel="1">
      <c r="A49" t="inlineStr" s="21">
        <is>
          <t xml:space="preserve">Ending customers &gt; Household</t>
        </is>
      </c>
      <c r="B49" s="26">
        <f>'Model inputs'!J49+'Model inputs'!B100-'Model inputs'!B94</f>
        <v>63.61869991935999</v>
      </c>
      <c r="E49" s="26">
        <f>IF('Model inputs'!C110="","",'Model inputs'!C110)</f>
        <v>40</v>
      </c>
      <c r="F49" s="26">
        <f>'Model inputs'!E49+'Model inputs'!F100-'Model inputs'!F94</f>
        <v>44.8</v>
      </c>
      <c r="G49" s="26">
        <f>'Model inputs'!F49+'Model inputs'!G100-'Model inputs'!G94</f>
        <v>49.215999999999994</v>
      </c>
      <c r="H49" s="26">
        <f>'Model inputs'!G49+'Model inputs'!H100-'Model inputs'!H94</f>
        <v>53.27871999999999</v>
      </c>
      <c r="I49" s="26">
        <f>'Model inputs'!H49+'Model inputs'!I100-'Model inputs'!I94</f>
        <v>57.016422399999996</v>
      </c>
      <c r="J49" s="26">
        <f>'Model inputs'!I49+'Model inputs'!J100-'Model inputs'!J94</f>
        <v>60.455108607999996</v>
      </c>
      <c r="K49" s="26">
        <f>'Model inputs'!B49+'Model inputs'!K100-'Model inputs'!K94</f>
        <v>66.52920392581119</v>
      </c>
      <c r="L49" s="26">
        <f>'Model inputs'!K49+'Model inputs'!L100-'Model inputs'!L94</f>
        <v>69.20686761174629</v>
      </c>
      <c r="M49" s="26">
        <f>'Model inputs'!L49+'Model inputs'!M100-'Model inputs'!M94</f>
        <v>71.67031820280658</v>
      </c>
      <c r="N49" s="26">
        <f>'Model inputs'!M49+'Model inputs'!N100-'Model inputs'!N94</f>
        <v>73.93669274658205</v>
      </c>
      <c r="O49" s="26">
        <f>'Model inputs'!N49+'Model inputs'!O100-'Model inputs'!O94</f>
        <v>76.0217573268555</v>
      </c>
      <c r="P49" s="26">
        <f>'Model inputs'!O49+'Model inputs'!P100-'Model inputs'!P94</f>
        <v>77.94001674070705</v>
      </c>
    </row>
    <row r="50">
      <c r="A50" t="inlineStr" s="19">
        <is>
          <t xml:space="preserve">Gross profit (USD) · Gross margin</t>
        </is>
      </c>
      <c r="B50" s="15">
        <f>SUM('Model inputs'!B96,'Model inputs'!B97)</f>
        <v>569.6349873106051</v>
      </c>
    </row>
    <row r="51">
      <c r="A51" t="inlineStr" s="19">
        <is>
          <t xml:space="preserve">Illustration policy selected (1 = yes, assumed)</t>
        </is>
      </c>
      <c r="D51" s="11">
        <v>0</v>
      </c>
    </row>
    <row r="52" outlineLevel="1">
      <c r="A52" t="inlineStr" s="21">
        <is>
          <t xml:space="preserve">Illustration policy selected (1 = yes, assumed) &gt; Full (8 pictures)</t>
        </is>
      </c>
      <c r="D52" s="12">
        <f>0</f>
        <v>0</v>
      </c>
    </row>
    <row r="53" outlineLevel="1">
      <c r="A53" t="inlineStr" s="21">
        <is>
          <t xml:space="preserve">Illustration policy selected (1 = yes, assumed) &gt; Half (4 pictures)</t>
        </is>
      </c>
      <c r="D53" s="12">
        <f>1</f>
        <v>1</v>
      </c>
    </row>
    <row r="54" outlineLevel="1">
      <c r="A54" t="inlineStr" s="21">
        <is>
          <t xml:space="preserve">Illustration policy selected (1 = yes, assumed) &gt; Text only (0)</t>
        </is>
      </c>
      <c r="D54" s="12">
        <f>0</f>
        <v>0</v>
      </c>
    </row>
    <row r="55">
      <c r="A55" t="inlineStr" s="19">
        <is>
          <t xml:space="preserve">neatlogs covered by hackathon credits (1 = yes, assumed) · Verification and illustration policy: cost, margin and bar</t>
        </is>
      </c>
      <c r="C55" s="12">
        <f>1</f>
        <v>1</v>
      </c>
    </row>
    <row r="56">
      <c r="A56" t="inlineStr" s="19">
        <is>
          <t xml:space="preserve">neatlogs Free plan span cap (published price, unverified for credits) · Verification and illustration policy: cost, margin and bar</t>
        </is>
      </c>
      <c r="C56" s="12">
        <f>100000</f>
        <v>100000</v>
      </c>
    </row>
    <row r="57">
      <c r="A57" t="inlineStr" s="19">
        <is>
          <t xml:space="preserve">neatlogs price per extra 100k spans (USD, published price) · Verification and illustration policy: cost, margin and bar</t>
        </is>
      </c>
      <c r="C57" s="15">
        <f>10</f>
        <v>10</v>
      </c>
    </row>
    <row r="58">
      <c r="A58" t="inlineStr" s="19">
        <is>
          <t xml:space="preserve">neatlogs Starter plan included spans (published price) · Verification and illustration policy: cost, margin and bar</t>
        </is>
      </c>
      <c r="C58" s="12">
        <f>250000</f>
        <v>250000</v>
      </c>
    </row>
    <row r="59">
      <c r="A59" t="inlineStr" s="19">
        <is>
          <t xml:space="preserve">neatlogs Starter plan price per month (USD, published price) · Verification and illustration policy: cost, margin and bar</t>
        </is>
      </c>
      <c r="C59" s="15">
        <f>99</f>
        <v>99</v>
      </c>
    </row>
    <row r="60">
      <c r="A60" t="inlineStr" s="19">
        <is>
          <t xml:space="preserve">Overage revenue (USD)</t>
        </is>
      </c>
      <c r="B60" s="13">
        <f>SUM('Model inputs'!B61,'Model inputs'!B62)</f>
        <v>0</v>
      </c>
      <c r="E60" s="13">
        <f>SUM('Model inputs'!E61,'Model inputs'!E62)</f>
        <v>0</v>
      </c>
      <c r="F60" s="13">
        <f>SUM('Model inputs'!F61,'Model inputs'!F62)</f>
        <v>0</v>
      </c>
      <c r="G60" s="13">
        <f>SUM('Model inputs'!G61,'Model inputs'!G62)</f>
        <v>0</v>
      </c>
      <c r="H60" s="13">
        <f>SUM('Model inputs'!H61,'Model inputs'!H62)</f>
        <v>0</v>
      </c>
      <c r="I60" s="13">
        <f>SUM('Model inputs'!I61,'Model inputs'!I62)</f>
        <v>0</v>
      </c>
      <c r="J60" s="13">
        <f>SUM('Model inputs'!J61,'Model inputs'!J62)</f>
        <v>0</v>
      </c>
      <c r="K60" s="13">
        <f>SUM('Model inputs'!K61,'Model inputs'!K62)</f>
        <v>0</v>
      </c>
      <c r="L60" s="13">
        <f>SUM('Model inputs'!L61,'Model inputs'!L62)</f>
        <v>0</v>
      </c>
      <c r="M60" s="13">
        <f>SUM('Model inputs'!M61,'Model inputs'!M62)</f>
        <v>0</v>
      </c>
      <c r="N60" s="13">
        <f>SUM('Model inputs'!N61,'Model inputs'!N62)</f>
        <v>0</v>
      </c>
      <c r="O60" s="13">
        <f>SUM('Model inputs'!O61,'Model inputs'!O62)</f>
        <v>0</v>
      </c>
      <c r="P60" s="13">
        <f>SUM('Model inputs'!P61,'Model inputs'!P62)</f>
        <v>0</v>
      </c>
    </row>
    <row r="61" outlineLevel="1">
      <c r="A61" t="inlineStr" s="21">
        <is>
          <t xml:space="preserve">Overage revenue (USD) &gt; Classroom</t>
        </is>
      </c>
      <c r="B61" s="15">
        <f>'Model inputs'!B48*IF(IF(IF(IF(ISERROR('Model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E61" s="15">
        <f>0</f>
        <v>0</v>
      </c>
      <c r="F61" s="15">
        <f>'Model inputs'!F48*IF(IF(IF(IF(ISERROR('Model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G61" s="15">
        <f>'Model inputs'!G48*IF(IF(IF(IF(ISERROR('Model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H61" s="15">
        <f>'Model inputs'!H48*IF(IF(IF(IF(ISERROR('Model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I61" s="15">
        <f>'Model inputs'!I48*IF(IF(IF(IF(ISERROR('Model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J61" s="15">
        <f>'Model inputs'!J48*IF(IF(IF(IF(ISERROR('Model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K61" s="15">
        <f>'Model inputs'!K48*IF(IF(IF(IF(ISERROR('Model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L61" s="15">
        <f>'Model inputs'!L48*IF(IF(IF(IF(ISERROR('Model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M61" s="15">
        <f>'Model inputs'!M48*IF(IF(IF(IF(ISERROR('Model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N61" s="15">
        <f>'Model inputs'!N48*IF(IF(IF(IF(ISERROR('Model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O61" s="15">
        <f>'Model inputs'!O48*IF(IF(IF(IF(ISERROR('Model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  <c r="P61" s="15">
        <f>'Model inputs'!P48*IF(IF(IF(IF(ISERROR('Model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inputs'!C102,0)="",0,IF(IF(IF(ISERROR('Model inputs'!C77&gt;'Model inputs'!C112),'Model inputs'!C77&gt;'Model inputs'!C112,IF(OR('Model inputs'!C77="",'Model inputs'!C112=""),"",'Model inputs'!C77&gt;'Model inputs'!C112))="",FALSE,IF(ISERROR('Model inputs'!C77&gt;'Model inputs'!C112),'Model inputs'!C77&gt;'Model inputs'!C112,IF(OR('Model inputs'!C77="",'Model inputs'!C112=""),"",'Model inputs'!C77&gt;'Model inputs'!C112))),('Model inputs'!C77-'Model inputs'!C112)*'Model inputs'!C102,0))</f>
        <v>0</v>
      </c>
    </row>
    <row r="62" outlineLevel="1">
      <c r="A62" t="inlineStr" s="21">
        <is>
          <t xml:space="preserve">Overage revenue (USD) &gt; Household</t>
        </is>
      </c>
      <c r="B62" s="15">
        <f>'Model inputs'!B49*IF(IF(IF(IF(ISERROR('Model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E62" s="15">
        <f>0</f>
        <v>0</v>
      </c>
      <c r="F62" s="15">
        <f>'Model inputs'!F49*IF(IF(IF(IF(ISERROR('Model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G62" s="15">
        <f>'Model inputs'!G49*IF(IF(IF(IF(ISERROR('Model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H62" s="15">
        <f>'Model inputs'!H49*IF(IF(IF(IF(ISERROR('Model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I62" s="15">
        <f>'Model inputs'!I49*IF(IF(IF(IF(ISERROR('Model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J62" s="15">
        <f>'Model inputs'!J49*IF(IF(IF(IF(ISERROR('Model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K62" s="15">
        <f>'Model inputs'!K49*IF(IF(IF(IF(ISERROR('Model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L62" s="15">
        <f>'Model inputs'!L49*IF(IF(IF(IF(ISERROR('Model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M62" s="15">
        <f>'Model inputs'!M49*IF(IF(IF(IF(ISERROR('Model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N62" s="15">
        <f>'Model inputs'!N49*IF(IF(IF(IF(ISERROR('Model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O62" s="15">
        <f>'Model inputs'!O49*IF(IF(IF(IF(ISERROR('Model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  <c r="P62" s="15">
        <f>'Model inputs'!P49*IF(IF(IF(IF(ISERROR('Model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inputs'!C103,0)="",0,IF(IF(IF(ISERROR('Model inputs'!C78&gt;'Model inputs'!C113),'Model inputs'!C78&gt;'Model inputs'!C113,IF(OR('Model inputs'!C78="",'Model inputs'!C113=""),"",'Model inputs'!C78&gt;'Model inputs'!C113))="",FALSE,IF(ISERROR('Model inputs'!C78&gt;'Model inputs'!C113),'Model inputs'!C78&gt;'Model inputs'!C113,IF(OR('Model inputs'!C78="",'Model inputs'!C113=""),"",'Model inputs'!C78&gt;'Model inputs'!C113))),('Model inputs'!C78-'Model inputs'!C113)*'Model inputs'!C103,0))</f>
        <v>0</v>
      </c>
    </row>
    <row r="63">
      <c r="A63" t="inlineStr" s="19">
        <is>
          <t xml:space="preserve">Picture and narration cost per story (USD, derived)</t>
        </is>
      </c>
      <c r="D63" s="6">
        <f>'Model inputs'!C67*'Model inputs'!C43+'Model inputs'!C41*'Model inputs'!C42</f>
        <v>0.016</v>
      </c>
    </row>
    <row r="64" outlineLevel="1">
      <c r="A64" t="inlineStr" s="21">
        <is>
          <t xml:space="preserve">Picture and narration cost per story (USD, derived) &gt; Full (8 pictures)</t>
        </is>
      </c>
      <c r="D64" s="8">
        <f>'Model inputs'!C68*'Model inputs'!C43+'Model inputs'!C41*'Model inputs'!C42</f>
        <v>0.336</v>
      </c>
    </row>
    <row r="65" outlineLevel="1">
      <c r="A65" t="inlineStr" s="21">
        <is>
          <t xml:space="preserve">Picture and narration cost per story (USD, derived) &gt; Half (4 pictures)</t>
        </is>
      </c>
      <c r="D65" s="8">
        <f>'Model inputs'!C69*'Model inputs'!C43+'Model inputs'!C41*'Model inputs'!C42</f>
        <v>0.176</v>
      </c>
    </row>
    <row r="66" outlineLevel="1">
      <c r="A66" t="inlineStr" s="21">
        <is>
          <t xml:space="preserve">Picture and narration cost per story (USD, derived) &gt; Text only (0)</t>
        </is>
      </c>
      <c r="D66" s="8">
        <f>'Model inputs'!C70*'Model inputs'!C43+'Model inputs'!C41*'Model inputs'!C42</f>
        <v>0.016</v>
      </c>
    </row>
    <row r="67">
      <c r="A67" t="inlineStr" s="19">
        <is>
          <t xml:space="preserve">Pictures per story (policy)</t>
        </is>
      </c>
      <c r="C67" s="11">
        <v>0</v>
      </c>
    </row>
    <row r="68" outlineLevel="1">
      <c r="A68" t="inlineStr" s="21">
        <is>
          <t xml:space="preserve">Pictures per story (policy) &gt; Full (8 pictures)</t>
        </is>
      </c>
      <c r="C68" s="12">
        <f>8</f>
        <v>8</v>
      </c>
    </row>
    <row r="69" outlineLevel="1">
      <c r="A69" t="inlineStr" s="21">
        <is>
          <t xml:space="preserve">Pictures per story (policy) &gt; Half (4 pictures)</t>
        </is>
      </c>
      <c r="C69" s="12">
        <f>4</f>
        <v>4</v>
      </c>
    </row>
    <row r="70" outlineLevel="1">
      <c r="A70" t="inlineStr" s="21">
        <is>
          <t xml:space="preserve">Pictures per story (policy) &gt; Text only (0)</t>
        </is>
      </c>
      <c r="C70" s="12">
        <f>0</f>
        <v>0</v>
      </c>
    </row>
    <row r="71">
      <c r="A71" t="inlineStr" s="19">
        <is>
          <t xml:space="preserve">Seconds per video clip (assumed)</t>
        </is>
      </c>
      <c r="C71" s="22">
        <f>4</f>
        <v>4</v>
      </c>
    </row>
    <row r="72">
      <c r="A72" t="inlineStr" s="19">
        <is>
          <t xml:space="preserve">Share of gated uplift paid (derived)</t>
        </is>
      </c>
      <c r="C72" s="27">
        <v>0.7</v>
      </c>
    </row>
    <row r="73" outlineLevel="1">
      <c r="A73" t="inlineStr" s="21">
        <is>
          <t xml:space="preserve">Share of gated uplift paid (derived) &gt; Sampled</t>
        </is>
      </c>
      <c r="C73" s="20">
        <f>IF(EXACT("Sampled","Verify all"),1,IF('Model inputs'!C44="","",'Model inputs'!C44))</f>
        <v>0.7</v>
      </c>
    </row>
    <row r="74" outlineLevel="1">
      <c r="A74" t="inlineStr" s="21">
        <is>
          <t xml:space="preserve">Share of gated uplift paid (derived) &gt; Verify all</t>
        </is>
      </c>
      <c r="C74" s="20">
        <f>IF(EXACT("Verify all","Verify all"),1,IF('Model inputs'!C44="","",'Model inputs'!C44))</f>
        <v>1</v>
      </c>
    </row>
    <row r="75">
      <c r="A75" t="inlineStr" s="19">
        <is>
          <t xml:space="preserve">Spans per month (derived) · neatlogs bill (USD, derived) · Month 6 reference (company, selected policy)</t>
        </is>
      </c>
      <c r="B75" s="12">
        <f>'Model inputs'!B30*'Model inputs'!C107</f>
        <v>193784.07487781878</v>
      </c>
    </row>
    <row r="76">
      <c r="A76" t="inlineStr" s="19">
        <is>
          <t xml:space="preserve">Stories used per customer (derived)</t>
        </is>
      </c>
      <c r="C76" s="25">
        <f>'Model inputs'!C114*'Model inputs'!C111</f>
        <v>0</v>
      </c>
    </row>
    <row r="77" outlineLevel="1">
      <c r="A77" t="inlineStr" s="21">
        <is>
          <t xml:space="preserve">Stories used per customer (derived) &gt; Classroom</t>
        </is>
      </c>
      <c r="C77" s="26">
        <f>'Model inputs'!C115*'Model inputs'!C112</f>
        <v>60</v>
      </c>
    </row>
    <row r="78" outlineLevel="1">
      <c r="A78" t="inlineStr" s="21">
        <is>
          <t xml:space="preserve">Stories used per customer (derived) &gt; Household</t>
        </is>
      </c>
      <c r="C78" s="26">
        <f>'Model inputs'!C116*'Model inputs'!C113</f>
        <v>7.199999999999999</v>
      </c>
    </row>
    <row r="79">
      <c r="A79" t="inlineStr" s="19">
        <is>
          <t xml:space="preserve">Subscription revenue (USD)</t>
        </is>
      </c>
      <c r="B79" s="13">
        <f>SUM('Model inputs'!B80,'Model inputs'!B81)</f>
        <v>847.7169891010365</v>
      </c>
      <c r="E79" s="13">
        <f>SUM('Model inputs'!E80,'Model inputs'!E81)</f>
        <v>0</v>
      </c>
      <c r="F79" s="13">
        <f>SUM('Model inputs'!F80,'Model inputs'!F81)</f>
        <v>623.452</v>
      </c>
      <c r="G79" s="13">
        <f>SUM('Model inputs'!G80,'Model inputs'!G81)</f>
        <v>674.0108399999999</v>
      </c>
      <c r="H79" s="13">
        <f>SUM('Model inputs'!H80,'Model inputs'!H81)</f>
        <v>721.5095228</v>
      </c>
      <c r="I79" s="13">
        <f>SUM('Model inputs'!I80,'Model inputs'!I81)</f>
        <v>766.163324476</v>
      </c>
      <c r="J79" s="13">
        <f>SUM('Model inputs'!J80,'Model inputs'!J81)</f>
        <v>808.17118511292</v>
      </c>
      <c r="K79" s="13">
        <f>SUM('Model inputs'!K80,'Model inputs'!K81)</f>
        <v>884.9707438061889</v>
      </c>
      <c r="L79" s="13">
        <f>SUM('Model inputs'!L80,'Model inputs'!L81)</f>
        <v>920.0896647199322</v>
      </c>
      <c r="M79" s="13">
        <f>SUM('Model inputs'!M80,'Model inputs'!M81)</f>
        <v>953.2191745480288</v>
      </c>
      <c r="N79" s="13">
        <f>SUM('Model inputs'!N80,'Model inputs'!N81)</f>
        <v>984.493823099707</v>
      </c>
      <c r="O79" s="13">
        <f>SUM('Model inputs'!O80,'Model inputs'!O81)</f>
        <v>1014.0381342917855</v>
      </c>
      <c r="P79" s="13">
        <f>SUM('Model inputs'!P80,'Model inputs'!P81)</f>
        <v>1041.967386077296</v>
      </c>
    </row>
    <row r="80" outlineLevel="1">
      <c r="A80" t="inlineStr" s="21">
        <is>
          <t xml:space="preserve">Subscription revenue (USD) &gt; Classroom</t>
        </is>
      </c>
      <c r="B80" s="15">
        <f>'Model inputs'!B48*'Model inputs'!C105</f>
        <v>403.02227666471003</v>
      </c>
      <c r="E80" s="15">
        <f>0</f>
        <v>0</v>
      </c>
      <c r="F80" s="15">
        <f>'Model inputs'!F48*'Model inputs'!C105</f>
        <v>310.29999999999995</v>
      </c>
      <c r="G80" s="15">
        <f>'Model inputs'!G48*'Model inputs'!C105</f>
        <v>329.991</v>
      </c>
      <c r="H80" s="15">
        <f>'Model inputs'!H48*'Model inputs'!C105</f>
        <v>349.09127</v>
      </c>
      <c r="I80" s="15">
        <f>'Model inputs'!I48*'Model inputs'!C105</f>
        <v>367.6185319</v>
      </c>
      <c r="J80" s="15">
        <f>'Model inputs'!J48*'Model inputs'!C105</f>
        <v>385.589975943</v>
      </c>
      <c r="K80" s="15">
        <f>'Model inputs'!K48*'Model inputs'!C105</f>
        <v>419.9316083647687</v>
      </c>
      <c r="L80" s="15">
        <f>'Model inputs'!L48*'Model inputs'!C105</f>
        <v>436.33366011382566</v>
      </c>
      <c r="M80" s="15">
        <f>'Model inputs'!M48*'Model inputs'!C105</f>
        <v>452.2436503104108</v>
      </c>
      <c r="N80" s="15">
        <f>'Model inputs'!N48*'Model inputs'!C105</f>
        <v>467.67634080109855</v>
      </c>
      <c r="O80" s="15">
        <f>'Model inputs'!O48*'Model inputs'!C105</f>
        <v>482.6460505770656</v>
      </c>
      <c r="P80" s="15">
        <f>'Model inputs'!P48*'Model inputs'!C105</f>
        <v>497.16666905975364</v>
      </c>
    </row>
    <row r="81" outlineLevel="1">
      <c r="A81" t="inlineStr" s="21">
        <is>
          <t xml:space="preserve">Subscription revenue (USD) &gt; Household</t>
        </is>
      </c>
      <c r="B81" s="15">
        <f>'Model inputs'!B49*'Model inputs'!C106</f>
        <v>444.69471243632637</v>
      </c>
      <c r="E81" s="15">
        <f>0</f>
        <v>0</v>
      </c>
      <c r="F81" s="15">
        <f>'Model inputs'!F49*'Model inputs'!C106</f>
        <v>313.152</v>
      </c>
      <c r="G81" s="15">
        <f>'Model inputs'!G49*'Model inputs'!C106</f>
        <v>344.01984</v>
      </c>
      <c r="H81" s="15">
        <f>'Model inputs'!H49*'Model inputs'!C106</f>
        <v>372.41825279999995</v>
      </c>
      <c r="I81" s="15">
        <f>'Model inputs'!I49*'Model inputs'!C106</f>
        <v>398.54479257599996</v>
      </c>
      <c r="J81" s="15">
        <f>'Model inputs'!J49*'Model inputs'!C106</f>
        <v>422.58120916992</v>
      </c>
      <c r="K81" s="15">
        <f>'Model inputs'!K49*'Model inputs'!C106</f>
        <v>465.0391354414202</v>
      </c>
      <c r="L81" s="15">
        <f>'Model inputs'!L49*'Model inputs'!C106</f>
        <v>483.75600460610656</v>
      </c>
      <c r="M81" s="15">
        <f>'Model inputs'!M49*'Model inputs'!C106</f>
        <v>500.97552423761806</v>
      </c>
      <c r="N81" s="15">
        <f>'Model inputs'!N49*'Model inputs'!C106</f>
        <v>516.8174822986085</v>
      </c>
      <c r="O81" s="15">
        <f>'Model inputs'!O49*'Model inputs'!C106</f>
        <v>531.3920837147199</v>
      </c>
      <c r="P81" s="15">
        <f>'Model inputs'!P49*'Model inputs'!C106</f>
        <v>544.8007170175423</v>
      </c>
    </row>
    <row r="82">
      <c r="A82" t="inlineStr" s="19">
        <is>
          <t xml:space="preserve">Text and verification cost per story (USD, derived)</t>
        </is>
      </c>
      <c r="D82" s="6">
        <f>'Model inputs'!C45+'Model inputs'!C72*('Model inputs'!C46-'Model inputs'!C45)</f>
        <v>0.01684</v>
      </c>
    </row>
    <row r="83" outlineLevel="1">
      <c r="A83" t="inlineStr" s="21">
        <is>
          <t xml:space="preserve">Text and verification cost per story (USD, derived) &gt; Sampled</t>
        </is>
      </c>
      <c r="D83" s="8">
        <f>'Model inputs'!C45+'Model inputs'!C73*('Model inputs'!C46-'Model inputs'!C45)</f>
        <v>0.01684</v>
      </c>
    </row>
    <row r="84" outlineLevel="1">
      <c r="A84" t="inlineStr" s="21">
        <is>
          <t xml:space="preserve">Text and verification cost per story (USD, derived) &gt; Verify all</t>
        </is>
      </c>
      <c r="D84" s="8">
        <f>'Model inputs'!C45+'Model inputs'!C74*('Model inputs'!C46-'Model inputs'!C45)</f>
        <v>0.0199</v>
      </c>
    </row>
    <row r="85">
      <c r="A85" t="inlineStr" s="19">
        <is>
          <t xml:space="preserve">Verification policy selected (1 = yes, assumed)</t>
        </is>
      </c>
      <c r="D85" s="11">
        <v>0</v>
      </c>
    </row>
    <row r="86" outlineLevel="1">
      <c r="A86" t="inlineStr" s="21">
        <is>
          <t xml:space="preserve">Verification policy selected (1 = yes, assumed) &gt; Sampled</t>
        </is>
      </c>
      <c r="D86" s="12">
        <f>0</f>
        <v>0</v>
      </c>
    </row>
    <row r="87" outlineLevel="1">
      <c r="A87" t="inlineStr" s="21">
        <is>
          <t xml:space="preserve">Verification policy selected (1 = yes, assumed) &gt; Verify all</t>
        </is>
      </c>
      <c r="D87" s="12">
        <f>1</f>
        <v>1</v>
      </c>
    </row>
    <row r="88">
      <c r="A88" t="inlineStr" s="19">
        <is>
          <t xml:space="preserve">Video clips per story (0 = deterministic motion only, as today)</t>
        </is>
      </c>
      <c r="C88" s="22">
        <f>0</f>
        <v>0</v>
      </c>
    </row>
    <row r="89">
      <c r="A89" t="inlineStr" s="19">
        <is>
          <t xml:space="preserve">Video model price per second (USD, list price estimate)</t>
        </is>
      </c>
      <c r="C89" s="22">
        <f>0.05</f>
        <v>0.05</v>
      </c>
    </row>
    <row r="90">
      <c r="A90" t="inlineStr" s="19">
        <is>
          <t xml:space="preserve">Video retry allowance (x clips made per clip kept, assumed)</t>
        </is>
      </c>
      <c r="C90" s="22">
        <f>1.4</f>
        <v>1.4</v>
      </c>
    </row>
    <row r="91">
      <c r="A91" t="inlineStr" s="19">
        <is>
          <t xml:space="preserve">Hosting per month (USD, assumed) · Verification and illustration policy: cost, margin and bar</t>
        </is>
      </c>
      <c r="C91" s="15">
        <f>'Model inputs'!D11</f>
        <v>25</v>
      </c>
    </row>
    <row r="92">
      <c r="A92" t="inlineStr" s="19">
        <is>
          <t xml:space="preserve">Churned customers</t>
        </is>
      </c>
      <c r="B92" s="25">
        <f>SUM('Model inputs'!B93,'Model inputs'!B94)</f>
        <v>5.23529487065</v>
      </c>
      <c r="E92" s="25">
        <f>SUM('Model inputs'!E93,'Model inputs'!E94)</f>
        <v>0</v>
      </c>
      <c r="F92" s="25">
        <f>SUM('Model inputs'!F93,'Model inputs'!F94)</f>
        <v>3.5</v>
      </c>
      <c r="G92" s="25">
        <f>SUM('Model inputs'!G93,'Model inputs'!G94)</f>
        <v>3.9049999999999994</v>
      </c>
      <c r="H92" s="25">
        <f>SUM('Model inputs'!H93,'Model inputs'!H94)</f>
        <v>4.278649999999999</v>
      </c>
      <c r="I92" s="25">
        <f>SUM('Model inputs'!I93,'Model inputs'!I94)</f>
        <v>4.623426499999999</v>
      </c>
      <c r="J92" s="25">
        <f>SUM('Model inputs'!J93,'Model inputs'!J94)</f>
        <v>4.941608825</v>
      </c>
      <c r="K92" s="25">
        <f>SUM('Model inputs'!K93,'Model inputs'!K94)</f>
        <v>5.5064155900984995</v>
      </c>
      <c r="L92" s="25">
        <f>SUM('Model inputs'!L93,'Model inputs'!L94)</f>
        <v>5.756748322718104</v>
      </c>
      <c r="M92" s="25">
        <f>SUM('Model inputs'!M93,'Model inputs'!M94)</f>
        <v>5.987929057333316</v>
      </c>
      <c r="N92" s="25">
        <f>SUM('Model inputs'!N93,'Model inputs'!N94)</f>
        <v>6.201463715166331</v>
      </c>
      <c r="O92" s="25">
        <f>SUM('Model inputs'!O93,'Model inputs'!O94)</f>
        <v>6.398738530900115</v>
      </c>
      <c r="P92" s="25">
        <f>SUM('Model inputs'!P93,'Model inputs'!P94)</f>
        <v>6.581029603986783</v>
      </c>
    </row>
    <row r="93" outlineLevel="1">
      <c r="A93" t="inlineStr" s="21">
        <is>
          <t xml:space="preserve">Churned customers &gt; Classroom</t>
        </is>
      </c>
      <c r="B93" s="26">
        <f>'Model inputs'!J48*'Model inputs'!C135</f>
        <v>0.39888618201</v>
      </c>
      <c r="E93" s="26">
        <f>0</f>
        <v>0</v>
      </c>
      <c r="F93" s="26">
        <f>'Model inputs'!E48*'Model inputs'!C135</f>
        <v>0.3</v>
      </c>
      <c r="G93" s="26">
        <f>'Model inputs'!F48*'Model inputs'!C135</f>
        <v>0.32099999999999995</v>
      </c>
      <c r="H93" s="26">
        <f>'Model inputs'!G48*'Model inputs'!C135</f>
        <v>0.34136999999999995</v>
      </c>
      <c r="I93" s="26">
        <f>'Model inputs'!H48*'Model inputs'!C135</f>
        <v>0.3611289</v>
      </c>
      <c r="J93" s="26">
        <f>'Model inputs'!I48*'Model inputs'!C135</f>
        <v>0.38029503299999995</v>
      </c>
      <c r="K93" s="26">
        <f>'Model inputs'!B48*'Model inputs'!C135</f>
        <v>0.4169195965497</v>
      </c>
      <c r="L93" s="26">
        <f>'Model inputs'!K48*'Model inputs'!C135</f>
        <v>0.434412008653209</v>
      </c>
      <c r="M93" s="26">
        <f>'Model inputs'!L48*'Model inputs'!C135</f>
        <v>0.4513796483936127</v>
      </c>
      <c r="N93" s="26">
        <f>'Model inputs'!M48*'Model inputs'!C135</f>
        <v>0.4678382589418043</v>
      </c>
      <c r="O93" s="26">
        <f>'Model inputs'!N48*'Model inputs'!C135</f>
        <v>0.4838031111735502</v>
      </c>
      <c r="P93" s="26">
        <f>'Model inputs'!O48*'Model inputs'!C135</f>
        <v>0.4992890178383437</v>
      </c>
    </row>
    <row r="94" outlineLevel="1">
      <c r="A94" t="inlineStr" s="21">
        <is>
          <t xml:space="preserve">Churned customers &gt; Household</t>
        </is>
      </c>
      <c r="B94" s="26">
        <f>'Model inputs'!J49*'Model inputs'!C136</f>
        <v>4.83640868864</v>
      </c>
      <c r="E94" s="26">
        <f>0</f>
        <v>0</v>
      </c>
      <c r="F94" s="26">
        <f>'Model inputs'!E49*'Model inputs'!C136</f>
        <v>3.2</v>
      </c>
      <c r="G94" s="26">
        <f>'Model inputs'!F49*'Model inputs'!C136</f>
        <v>3.5839999999999996</v>
      </c>
      <c r="H94" s="26">
        <f>'Model inputs'!G49*'Model inputs'!C136</f>
        <v>3.9372799999999994</v>
      </c>
      <c r="I94" s="26">
        <f>'Model inputs'!H49*'Model inputs'!C136</f>
        <v>4.262297599999999</v>
      </c>
      <c r="J94" s="26">
        <f>'Model inputs'!I49*'Model inputs'!C136</f>
        <v>4.561313792</v>
      </c>
      <c r="K94" s="26">
        <f>'Model inputs'!B49*'Model inputs'!C136</f>
        <v>5.089495993548799</v>
      </c>
      <c r="L94" s="26">
        <f>'Model inputs'!K49*'Model inputs'!C136</f>
        <v>5.322336314064895</v>
      </c>
      <c r="M94" s="26">
        <f>'Model inputs'!L49*'Model inputs'!C136</f>
        <v>5.536549408939703</v>
      </c>
      <c r="N94" s="26">
        <f>'Model inputs'!M49*'Model inputs'!C136</f>
        <v>5.733625456224527</v>
      </c>
      <c r="O94" s="26">
        <f>'Model inputs'!N49*'Model inputs'!C136</f>
        <v>5.9149354197265644</v>
      </c>
      <c r="P94" s="26">
        <f>'Model inputs'!O49*'Model inputs'!C136</f>
        <v>6.08174058614844</v>
      </c>
    </row>
    <row r="95">
      <c r="A95" t="inlineStr" s="19">
        <is>
          <t xml:space="preserve">Gross profit (USD)</t>
        </is>
      </c>
      <c r="B95" s="13">
        <f>IF('Model inputs'!B50="","",'Model inputs'!B50)</f>
        <v>569.6349873106051</v>
      </c>
      <c r="E95" s="13">
        <f>SUM('Model inputs'!E96,'Model inputs'!E97)</f>
        <v>0</v>
      </c>
      <c r="F95" s="13">
        <f>SUM('Model inputs'!F96,'Model inputs'!F97)</f>
        <v>409.494696</v>
      </c>
      <c r="G95" s="13">
        <f>SUM('Model inputs'!G96,'Model inputs'!G97)</f>
        <v>445.84389032</v>
      </c>
      <c r="H95" s="13">
        <f>SUM('Model inputs'!H96,'Model inputs'!H97)</f>
        <v>479.87065079440004</v>
      </c>
      <c r="I95" s="13">
        <f>SUM('Model inputs'!I96,'Model inputs'!I97)</f>
        <v>511.743207079848</v>
      </c>
      <c r="J95" s="13">
        <f>SUM('Model inputs'!J96,'Model inputs'!J97)</f>
        <v>541.6168574119902</v>
      </c>
    </row>
    <row r="96" outlineLevel="1">
      <c r="A96" t="inlineStr" s="21">
        <is>
          <t xml:space="preserve">Gross profit (USD) &gt; Classroom</t>
        </is>
      </c>
      <c r="B96" s="15">
        <f>'Model inputs'!B19-'Model inputs'!B132</f>
        <v>227.7876591042103</v>
      </c>
      <c r="E96" s="15">
        <f>0</f>
        <v>0</v>
      </c>
      <c r="F96" s="15">
        <f>'Model inputs'!F19-'Model inputs'!F132</f>
        <v>172.08938162745483</v>
      </c>
      <c r="G96" s="15">
        <f>'Model inputs'!G19-'Model inputs'!G132</f>
        <v>184.00240859897232</v>
      </c>
      <c r="H96" s="15">
        <f>'Model inputs'!H19-'Model inputs'!H132</f>
        <v>195.5051020271279</v>
      </c>
      <c r="I96" s="15">
        <f>'Model inputs'!I19-'Model inputs'!I132</f>
        <v>206.62350174453735</v>
      </c>
      <c r="J96" s="15">
        <f>'Model inputs'!J19-'Model inputs'!J132</f>
        <v>217.37851398095688</v>
      </c>
    </row>
    <row r="97" outlineLevel="1">
      <c r="A97" t="inlineStr" s="21">
        <is>
          <t xml:space="preserve">Gross profit (USD) &gt; Household</t>
        </is>
      </c>
      <c r="B97" s="15">
        <f>'Model inputs'!B20-'Model inputs'!B133</f>
        <v>341.8473282063948</v>
      </c>
      <c r="E97" s="15">
        <f>0</f>
        <v>0</v>
      </c>
      <c r="F97" s="15">
        <f>'Model inputs'!F20-'Model inputs'!F133</f>
        <v>237.40531437254512</v>
      </c>
      <c r="G97" s="15">
        <f>'Model inputs'!G20-'Model inputs'!G133</f>
        <v>261.84148172102766</v>
      </c>
      <c r="H97" s="15">
        <f>'Model inputs'!H20-'Model inputs'!H133</f>
        <v>284.3655487672721</v>
      </c>
      <c r="I97" s="15">
        <f>'Model inputs'!I20-'Model inputs'!I133</f>
        <v>305.11970533531064</v>
      </c>
      <c r="J97" s="15">
        <f>'Model inputs'!J20-'Model inputs'!J133</f>
        <v>324.23834343103334</v>
      </c>
    </row>
    <row r="98">
      <c r="A98" t="inlineStr" s="19">
        <is>
          <t xml:space="preserve">New customers</t>
        </is>
      </c>
      <c r="B98" s="25">
        <f>SUM('Model inputs'!B99,'Model inputs'!B100)</f>
        <v>9</v>
      </c>
      <c r="E98" s="25">
        <f>SUM('Model inputs'!E99,'Model inputs'!E100)</f>
        <v>0</v>
      </c>
      <c r="F98" s="25">
        <f>SUM('Model inputs'!F99,'Model inputs'!F100)</f>
        <v>9</v>
      </c>
      <c r="G98" s="25">
        <f>SUM('Model inputs'!G99,'Model inputs'!G100)</f>
        <v>9</v>
      </c>
      <c r="H98" s="25">
        <f>SUM('Model inputs'!H99,'Model inputs'!H100)</f>
        <v>9</v>
      </c>
      <c r="I98" s="25">
        <f>SUM('Model inputs'!I99,'Model inputs'!I100)</f>
        <v>9</v>
      </c>
      <c r="J98" s="25">
        <f>SUM('Model inputs'!J99,'Model inputs'!J100)</f>
        <v>9</v>
      </c>
      <c r="K98" s="25">
        <f>SUM('Model inputs'!K99,'Model inputs'!K100)</f>
        <v>9</v>
      </c>
      <c r="L98" s="25">
        <f>SUM('Model inputs'!L99,'Model inputs'!L100)</f>
        <v>9</v>
      </c>
      <c r="M98" s="25">
        <f>SUM('Model inputs'!M99,'Model inputs'!M100)</f>
        <v>9</v>
      </c>
      <c r="N98" s="25">
        <f>SUM('Model inputs'!N99,'Model inputs'!N100)</f>
        <v>9</v>
      </c>
      <c r="O98" s="25">
        <f>SUM('Model inputs'!O99,'Model inputs'!O100)</f>
        <v>9</v>
      </c>
      <c r="P98" s="25">
        <f>SUM('Model inputs'!P99,'Model inputs'!P100)</f>
        <v>9</v>
      </c>
    </row>
    <row r="99" outlineLevel="1">
      <c r="A99" t="inlineStr" s="21">
        <is>
          <t xml:space="preserve">New customers &gt; Classroom</t>
        </is>
      </c>
      <c r="B99" s="26">
        <f>IF('Model inputs'!C138="","",'Model inputs'!C138)</f>
        <v>1</v>
      </c>
      <c r="E99" s="26">
        <f>0</f>
        <v>0</v>
      </c>
      <c r="F99" s="26">
        <f>IF('Model inputs'!C138="","",'Model inputs'!C138)</f>
        <v>1</v>
      </c>
      <c r="G99" s="26">
        <f>IF('Model inputs'!C138="","",'Model inputs'!C138)</f>
        <v>1</v>
      </c>
      <c r="H99" s="26">
        <f>IF('Model inputs'!C138="","",'Model inputs'!C138)</f>
        <v>1</v>
      </c>
      <c r="I99" s="26">
        <f>IF('Model inputs'!C138="","",'Model inputs'!C138)</f>
        <v>1</v>
      </c>
      <c r="J99" s="26">
        <f>IF('Model inputs'!C138="","",'Model inputs'!C138)</f>
        <v>1</v>
      </c>
      <c r="K99" s="26">
        <f>IF('Model inputs'!C138="","",'Model inputs'!C138)</f>
        <v>1</v>
      </c>
      <c r="L99" s="26">
        <f>IF('Model inputs'!C138="","",'Model inputs'!C138)</f>
        <v>1</v>
      </c>
      <c r="M99" s="26">
        <f>IF('Model inputs'!C138="","",'Model inputs'!C138)</f>
        <v>1</v>
      </c>
      <c r="N99" s="26">
        <f>IF('Model inputs'!C138="","",'Model inputs'!C138)</f>
        <v>1</v>
      </c>
      <c r="O99" s="26">
        <f>IF('Model inputs'!C138="","",'Model inputs'!C138)</f>
        <v>1</v>
      </c>
      <c r="P99" s="26">
        <f>IF('Model inputs'!C138="","",'Model inputs'!C138)</f>
        <v>1</v>
      </c>
    </row>
    <row r="100" outlineLevel="1">
      <c r="A100" t="inlineStr" s="21">
        <is>
          <t xml:space="preserve">New customers &gt; Household</t>
        </is>
      </c>
      <c r="B100" s="26">
        <f>IF('Model inputs'!C139="","",'Model inputs'!C139)</f>
        <v>8</v>
      </c>
      <c r="E100" s="26">
        <f>0</f>
        <v>0</v>
      </c>
      <c r="F100" s="26">
        <f>IF('Model inputs'!C139="","",'Model inputs'!C139)</f>
        <v>8</v>
      </c>
      <c r="G100" s="26">
        <f>IF('Model inputs'!C139="","",'Model inputs'!C139)</f>
        <v>8</v>
      </c>
      <c r="H100" s="26">
        <f>IF('Model inputs'!C139="","",'Model inputs'!C139)</f>
        <v>8</v>
      </c>
      <c r="I100" s="26">
        <f>IF('Model inputs'!C139="","",'Model inputs'!C139)</f>
        <v>8</v>
      </c>
      <c r="J100" s="26">
        <f>IF('Model inputs'!C139="","",'Model inputs'!C139)</f>
        <v>8</v>
      </c>
      <c r="K100" s="26">
        <f>IF('Model inputs'!C139="","",'Model inputs'!C139)</f>
        <v>8</v>
      </c>
      <c r="L100" s="26">
        <f>IF('Model inputs'!C139="","",'Model inputs'!C139)</f>
        <v>8</v>
      </c>
      <c r="M100" s="26">
        <f>IF('Model inputs'!C139="","",'Model inputs'!C139)</f>
        <v>8</v>
      </c>
      <c r="N100" s="26">
        <f>IF('Model inputs'!C139="","",'Model inputs'!C139)</f>
        <v>8</v>
      </c>
      <c r="O100" s="26">
        <f>IF('Model inputs'!C139="","",'Model inputs'!C139)</f>
        <v>8</v>
      </c>
      <c r="P100" s="26">
        <f>IF('Model inputs'!C139="","",'Model inputs'!C139)</f>
        <v>8</v>
      </c>
    </row>
    <row r="101">
      <c r="A101" t="inlineStr" s="19">
        <is>
          <t xml:space="preserve">Overage price per extra story (USD, assumed)</t>
        </is>
      </c>
      <c r="C101" s="28">
        <v>0</v>
      </c>
    </row>
    <row r="102" outlineLevel="1">
      <c r="A102" t="inlineStr" s="21">
        <is>
          <t xml:space="preserve">Overage price per extra story (USD, assumed) &gt; Classroom</t>
        </is>
      </c>
      <c r="C102" s="29">
        <f>0.25</f>
        <v>0.25</v>
      </c>
    </row>
    <row r="103" outlineLevel="1">
      <c r="A103" t="inlineStr" s="21">
        <is>
          <t xml:space="preserve">Overage price per extra story (USD, assumed) &gt; Household</t>
        </is>
      </c>
      <c r="C103" s="29">
        <f>0.6</f>
        <v>0.6</v>
      </c>
    </row>
    <row r="104">
      <c r="A104" t="inlineStr" s="19">
        <is>
          <t xml:space="preserve">Price per month (USD, assumed)</t>
        </is>
      </c>
      <c r="C104" s="28">
        <v>0</v>
      </c>
    </row>
    <row r="105" outlineLevel="1">
      <c r="A105" t="inlineStr" s="21">
        <is>
          <t xml:space="preserve">Price per month (USD, assumed) &gt; Classroom</t>
        </is>
      </c>
      <c r="C105" s="29">
        <f>29</f>
        <v>29</v>
      </c>
    </row>
    <row r="106" outlineLevel="1">
      <c r="A106" t="inlineStr" s="21">
        <is>
          <t xml:space="preserve">Price per month (USD, assumed) &gt; Household</t>
        </is>
      </c>
      <c r="C106" s="29">
        <f>6.99</f>
        <v>6.99</v>
      </c>
    </row>
    <row r="107">
      <c r="A107" t="inlineStr" s="19">
        <is>
          <t xml:space="preserve">Spans per story (assumed placeholder) · Verification and illustration policy: cost, margin and bar</t>
        </is>
      </c>
      <c r="C107" s="12">
        <f>150</f>
        <v>150</v>
      </c>
    </row>
    <row r="108">
      <c r="A108" t="inlineStr" s="19">
        <is>
          <t xml:space="preserve">Starting customers (assumed)</t>
        </is>
      </c>
      <c r="C108" s="11">
        <v>0</v>
      </c>
    </row>
    <row r="109" outlineLevel="1">
      <c r="A109" t="inlineStr" s="21">
        <is>
          <t xml:space="preserve">Starting customers (assumed) &gt; Classroom</t>
        </is>
      </c>
      <c r="C109" s="12">
        <f>10</f>
        <v>10</v>
      </c>
    </row>
    <row r="110" outlineLevel="1">
      <c r="A110" t="inlineStr" s="21">
        <is>
          <t xml:space="preserve">Starting customers (assumed) &gt; Household</t>
        </is>
      </c>
      <c r="C110" s="12">
        <f>40</f>
        <v>40</v>
      </c>
    </row>
    <row r="111">
      <c r="A111" t="inlineStr" s="19">
        <is>
          <t xml:space="preserve">Stories included per month (assumed)</t>
        </is>
      </c>
      <c r="C111" s="11">
        <v>0</v>
      </c>
    </row>
    <row r="112" outlineLevel="1">
      <c r="A112" t="inlineStr" s="21">
        <is>
          <t xml:space="preserve">Stories included per month (assumed) &gt; Classroom</t>
        </is>
      </c>
      <c r="C112" s="12">
        <f>100</f>
        <v>100</v>
      </c>
    </row>
    <row r="113" outlineLevel="1">
      <c r="A113" t="inlineStr" s="21">
        <is>
          <t xml:space="preserve">Stories included per month (assumed) &gt; Household</t>
        </is>
      </c>
      <c r="C113" s="12">
        <f>12</f>
        <v>12</v>
      </c>
    </row>
    <row r="114">
      <c r="A114" t="inlineStr" s="19">
        <is>
          <t xml:space="preserve">Stories used, share of included (assumed)</t>
        </is>
      </c>
      <c r="C114" s="27">
        <v>0</v>
      </c>
    </row>
    <row r="115" outlineLevel="1">
      <c r="A115" t="inlineStr" s="21">
        <is>
          <t xml:space="preserve">Stories used, share of included (assumed) &gt; Classroom</t>
        </is>
      </c>
      <c r="C115" s="20">
        <f>0.6</f>
        <v>0.6</v>
      </c>
    </row>
    <row r="116" outlineLevel="1">
      <c r="A116" t="inlineStr" s="21">
        <is>
          <t xml:space="preserve">Stories used, share of included (assumed) &gt; Household</t>
        </is>
      </c>
      <c r="C116" s="20">
        <f>0.6</f>
        <v>0.6</v>
      </c>
    </row>
    <row r="117">
      <c r="A117" t="inlineStr" s="19">
        <is>
          <t xml:space="preserve">Cost input value</t>
        </is>
      </c>
      <c r="D117" s="23">
        <v>0</v>
      </c>
    </row>
    <row r="118" outlineLevel="1">
      <c r="A118" t="inlineStr" s="21">
        <is>
          <t xml:space="preserve">Cost input value &gt; Narration price per page</t>
        </is>
      </c>
      <c r="D118" s="24">
        <f>'Model inputs'!C41</f>
        <v>0.002</v>
      </c>
    </row>
    <row r="119" outlineLevel="1">
      <c r="A119" t="inlineStr" s="21">
        <is>
          <t xml:space="preserve">Cost input value &gt; Pages per story</t>
        </is>
      </c>
      <c r="D119" s="24">
        <f>'Model inputs'!C42</f>
        <v>8</v>
      </c>
    </row>
    <row r="120" outlineLevel="1">
      <c r="A120" t="inlineStr" s="21">
        <is>
          <t xml:space="preserve">Cost input value &gt; Picture price each</t>
        </is>
      </c>
      <c r="D120" s="24">
        <f>'Model inputs'!C43</f>
        <v>0.04</v>
      </c>
    </row>
    <row r="121" outlineLevel="1">
      <c r="A121" t="inlineStr" s="21">
        <is>
          <t xml:space="preserve">Cost input value &gt; Sampled share of gated uplift</t>
        </is>
      </c>
      <c r="D121" s="24">
        <f>'Model inputs'!C44</f>
        <v>0.7</v>
      </c>
    </row>
    <row r="122" outlineLevel="1">
      <c r="A122" t="inlineStr" s="21">
        <is>
          <t xml:space="preserve">Cost input value &gt; Text and verification B0 ungated</t>
        </is>
      </c>
      <c r="D122" s="24">
        <f>'Model inputs'!C45</f>
        <v>0.0097</v>
      </c>
    </row>
    <row r="123" outlineLevel="1">
      <c r="A123" t="inlineStr" s="21">
        <is>
          <t xml:space="preserve">Cost input value &gt; Text and verification B1 gated</t>
        </is>
      </c>
      <c r="D123" s="24">
        <f>'Model inputs'!C46</f>
        <v>0.0199</v>
      </c>
    </row>
    <row r="124">
      <c r="A124" t="inlineStr" s="19">
        <is>
          <t xml:space="preserve">Pictures per story (policy)</t>
        </is>
      </c>
      <c r="D124" s="11">
        <v>0</v>
      </c>
    </row>
    <row r="125" outlineLevel="1">
      <c r="A125" t="inlineStr" s="21">
        <is>
          <t xml:space="preserve">Pictures per story (policy) &gt; Full (8 pictures)</t>
        </is>
      </c>
      <c r="D125" s="12">
        <f>'Model inputs'!C68</f>
        <v>8</v>
      </c>
    </row>
    <row r="126" outlineLevel="1">
      <c r="A126" t="inlineStr" s="21">
        <is>
          <t xml:space="preserve">Pictures per story (policy) &gt; Half (4 pictures)</t>
        </is>
      </c>
      <c r="D126" s="12">
        <f>'Model inputs'!C69</f>
        <v>4</v>
      </c>
    </row>
    <row r="127" outlineLevel="1">
      <c r="A127" t="inlineStr" s="21">
        <is>
          <t xml:space="preserve">Pictures per story (policy) &gt; Text only (0)</t>
        </is>
      </c>
      <c r="D127" s="12">
        <f>'Model inputs'!C70</f>
        <v>0</v>
      </c>
    </row>
    <row r="128">
      <c r="A128" t="inlineStr" s="19">
        <is>
          <t xml:space="preserve">Share of gated uplift paid (derived)</t>
        </is>
      </c>
      <c r="D128" s="27">
        <v>0.7</v>
      </c>
    </row>
    <row r="129" outlineLevel="1">
      <c r="A129" t="inlineStr" s="21">
        <is>
          <t xml:space="preserve">Share of gated uplift paid (derived) &gt; Sampled</t>
        </is>
      </c>
      <c r="D129" s="20">
        <f>IF(EXACT("Sampled","Verify all"),1,IF('Model inputs'!C44="","",'Model inputs'!C44))</f>
        <v>0.7</v>
      </c>
    </row>
    <row r="130" outlineLevel="1">
      <c r="A130" t="inlineStr" s="21">
        <is>
          <t xml:space="preserve">Share of gated uplift paid (derived) &gt; Verify all</t>
        </is>
      </c>
      <c r="D130" s="20">
        <f>IF(EXACT("Verify all","Verify all"),1,IF('Model inputs'!C44="","",'Model inputs'!C44))</f>
        <v>1</v>
      </c>
    </row>
    <row r="131">
      <c r="A131" t="inlineStr" s="19">
        <is>
          <t xml:space="preserve">Infra and inference (USD)</t>
        </is>
      </c>
      <c r="B131" s="13">
        <f>SUM('Model inputs'!B132,'Model inputs'!B133)</f>
        <v>278.0820017904313</v>
      </c>
      <c r="E131" s="13">
        <f>SUM('Model inputs'!E132,'Model inputs'!E133)</f>
        <v>0</v>
      </c>
      <c r="F131" s="13">
        <f>SUM('Model inputs'!F132,'Model inputs'!F133)</f>
        <v>213.957304</v>
      </c>
      <c r="G131" s="13">
        <f>SUM('Model inputs'!G132,'Model inputs'!G133)</f>
        <v>228.16694967999996</v>
      </c>
      <c r="H131" s="13">
        <f>SUM('Model inputs'!H132,'Model inputs'!H133)</f>
        <v>241.63887200559998</v>
      </c>
      <c r="I131" s="13">
        <f>SUM('Model inputs'!I132,'Model inputs'!I133)</f>
        <v>254.42011739615197</v>
      </c>
      <c r="J131" s="13">
        <f>SUM('Model inputs'!J132,'Model inputs'!J133)</f>
        <v>266.5543277009298</v>
      </c>
    </row>
    <row r="132" outlineLevel="1">
      <c r="A132" t="inlineStr" s="21">
        <is>
          <t xml:space="preserve">Infra and inference (USD) &gt; Classroom</t>
        </is>
      </c>
      <c r="B132" s="15">
        <f>'Model inputs'!B144+'Model inputs'!B141</f>
        <v>175.23461756049974</v>
      </c>
      <c r="E132" s="15">
        <f>0</f>
        <v>0</v>
      </c>
      <c r="F132" s="15">
        <f>'Model inputs'!F144+'Model inputs'!F141</f>
        <v>138.21061837254513</v>
      </c>
      <c r="G132" s="15">
        <f>'Model inputs'!G144+'Model inputs'!G141</f>
        <v>145.98859140102766</v>
      </c>
      <c r="H132" s="15">
        <f>'Model inputs'!H144+'Model inputs'!H141</f>
        <v>153.58616797287212</v>
      </c>
      <c r="I132" s="15">
        <f>'Model inputs'!I144+'Model inputs'!I141</f>
        <v>160.99503015546264</v>
      </c>
      <c r="J132" s="15">
        <f>'Model inputs'!J144+'Model inputs'!J141</f>
        <v>168.21146196204313</v>
      </c>
    </row>
    <row r="133" outlineLevel="1">
      <c r="A133" t="inlineStr" s="21">
        <is>
          <t xml:space="preserve">Infra and inference (USD) &gt; Household</t>
        </is>
      </c>
      <c r="B133" s="15">
        <f>'Model inputs'!B145+'Model inputs'!B142</f>
        <v>102.84738422993156</v>
      </c>
      <c r="E133" s="15">
        <f>0</f>
        <v>0</v>
      </c>
      <c r="F133" s="15">
        <f>'Model inputs'!F145+'Model inputs'!F142</f>
        <v>75.74668562745487</v>
      </c>
      <c r="G133" s="15">
        <f>'Model inputs'!G145+'Model inputs'!G142</f>
        <v>82.17835827897231</v>
      </c>
      <c r="H133" s="15">
        <f>'Model inputs'!H145+'Model inputs'!H142</f>
        <v>88.05270403272786</v>
      </c>
      <c r="I133" s="15">
        <f>'Model inputs'!I145+'Model inputs'!I142</f>
        <v>93.42508724068934</v>
      </c>
      <c r="J133" s="15">
        <f>'Model inputs'!J145+'Model inputs'!J142</f>
        <v>98.34286573888666</v>
      </c>
    </row>
    <row r="134">
      <c r="A134" t="inlineStr" s="19">
        <is>
          <t xml:space="preserve">Monthly churn (assumed)</t>
        </is>
      </c>
      <c r="C134" s="9">
        <v>0</v>
      </c>
    </row>
    <row r="135" outlineLevel="1">
      <c r="A135" t="inlineStr" s="21">
        <is>
          <t xml:space="preserve">Monthly churn (assumed) &gt; Classroom</t>
        </is>
      </c>
      <c r="C135" s="10">
        <f>0.03</f>
        <v>0.03</v>
      </c>
    </row>
    <row r="136" outlineLevel="1">
      <c r="A136" t="inlineStr" s="21">
        <is>
          <t xml:space="preserve">Monthly churn (assumed) &gt; Household</t>
        </is>
      </c>
      <c r="C136" s="10">
        <f>0.08</f>
        <v>0.08</v>
      </c>
    </row>
    <row r="137">
      <c r="A137" t="inlineStr" s="19">
        <is>
          <t xml:space="preserve">New customers per month (assumed)</t>
        </is>
      </c>
      <c r="C137" s="11">
        <v>0</v>
      </c>
    </row>
    <row r="138" outlineLevel="1">
      <c r="A138" t="inlineStr" s="21">
        <is>
          <t xml:space="preserve">New customers per month (assumed) &gt; Classroom</t>
        </is>
      </c>
      <c r="C138" s="12">
        <f>1</f>
        <v>1</v>
      </c>
    </row>
    <row r="139" outlineLevel="1">
      <c r="A139" t="inlineStr" s="21">
        <is>
          <t xml:space="preserve">New customers per month (assumed) &gt; Household</t>
        </is>
      </c>
      <c r="C139" s="12">
        <f>8</f>
        <v>8</v>
      </c>
    </row>
    <row r="140">
      <c r="A140" t="inlineStr" s="19">
        <is>
          <t xml:space="preserve">Hosting and neatlogs allocated by revenue (USD)</t>
        </is>
      </c>
      <c r="B140" s="13">
        <f>SUM('Model inputs'!B141,'Model inputs'!B142)</f>
        <v>24.999999999999996</v>
      </c>
      <c r="E140" s="13">
        <f>SUM('Model inputs'!E141,'Model inputs'!E142)</f>
        <v>0</v>
      </c>
      <c r="F140" s="13">
        <f>SUM('Model inputs'!F141,'Model inputs'!F142)</f>
        <v>25</v>
      </c>
      <c r="G140" s="13">
        <f>SUM('Model inputs'!G141,'Model inputs'!G142)</f>
        <v>25.000000000000004</v>
      </c>
      <c r="H140" s="13">
        <f>SUM('Model inputs'!H141,'Model inputs'!H142)</f>
        <v>24.999999999999996</v>
      </c>
      <c r="I140" s="13">
        <f>SUM('Model inputs'!I141,'Model inputs'!I142)</f>
        <v>25</v>
      </c>
      <c r="J140" s="13">
        <f>SUM('Model inputs'!J141,'Model inputs'!J142)</f>
        <v>25</v>
      </c>
    </row>
    <row r="141" outlineLevel="1">
      <c r="A141" t="inlineStr" s="21">
        <is>
          <t xml:space="preserve">Hosting and neatlogs allocated by revenue (USD) &gt; Classroom</t>
        </is>
      </c>
      <c r="B141" s="15">
        <f>('Model inputs'!D11+'Model inputs'!B12)*IFERROR('Model inputs'!B19/SUM('Model inputs'!B19,'Model inputs'!B20),0)</f>
        <v>11.885519632327293</v>
      </c>
      <c r="E141" s="15">
        <f>0</f>
        <v>0</v>
      </c>
      <c r="F141" s="15">
        <f>('Model inputs'!D11+'Model inputs'!F146)*IFERROR('Model inputs'!F19/SUM('Model inputs'!F19,'Model inputs'!F20),0)</f>
        <v>12.44281837254512</v>
      </c>
      <c r="G141" s="15">
        <f>('Model inputs'!D11+'Model inputs'!G146)*IFERROR('Model inputs'!G19/SUM('Model inputs'!G19,'Model inputs'!G20),0)</f>
        <v>12.239825401027677</v>
      </c>
      <c r="H141" s="15">
        <f>('Model inputs'!D11+'Model inputs'!H146)*IFERROR('Model inputs'!H19/SUM('Model inputs'!H19,'Model inputs'!H20),0)</f>
        <v>12.095864952872109</v>
      </c>
      <c r="I141" s="15">
        <f>('Model inputs'!D11+'Model inputs'!I146)*IFERROR('Model inputs'!I19/SUM('Model inputs'!I19,'Model inputs'!I20),0)</f>
        <v>11.995436226062646</v>
      </c>
      <c r="J141" s="15">
        <f>('Model inputs'!D11+'Model inputs'!J146)*IFERROR('Model inputs'!J19/SUM('Model inputs'!J19,'Model inputs'!J20),0)</f>
        <v>11.927855850525166</v>
      </c>
    </row>
    <row r="142" outlineLevel="1">
      <c r="A142" t="inlineStr" s="21">
        <is>
          <t xml:space="preserve">Hosting and neatlogs allocated by revenue (USD) &gt; Household</t>
        </is>
      </c>
      <c r="B142" s="15">
        <f>('Model inputs'!D11+'Model inputs'!B12)*IFERROR('Model inputs'!B20/SUM('Model inputs'!B19,'Model inputs'!B20),0)</f>
        <v>13.114480367672703</v>
      </c>
      <c r="E142" s="15">
        <f>0</f>
        <v>0</v>
      </c>
      <c r="F142" s="15">
        <f>('Model inputs'!D11+'Model inputs'!F146)*IFERROR('Model inputs'!F20/SUM('Model inputs'!F19,'Model inputs'!F20),0)</f>
        <v>12.55718162745488</v>
      </c>
      <c r="G142" s="15">
        <f>('Model inputs'!D11+'Model inputs'!G146)*IFERROR('Model inputs'!G20/SUM('Model inputs'!G19,'Model inputs'!G20),0)</f>
        <v>12.760174598972327</v>
      </c>
      <c r="H142" s="15">
        <f>('Model inputs'!D11+'Model inputs'!H146)*IFERROR('Model inputs'!H20/SUM('Model inputs'!H19,'Model inputs'!H20),0)</f>
        <v>12.904135047127888</v>
      </c>
      <c r="I142" s="15">
        <f>('Model inputs'!D11+'Model inputs'!I146)*IFERROR('Model inputs'!I20/SUM('Model inputs'!I19,'Model inputs'!I20),0)</f>
        <v>13.004563773937353</v>
      </c>
      <c r="J142" s="15">
        <f>('Model inputs'!D11+'Model inputs'!J146)*IFERROR('Model inputs'!J20/SUM('Model inputs'!J19,'Model inputs'!J20),0)</f>
        <v>13.072144149474832</v>
      </c>
    </row>
    <row r="143">
      <c r="A143" t="inlineStr" s="19">
        <is>
          <t xml:space="preserve">Inference cost (USD, estimate)</t>
        </is>
      </c>
      <c r="B143" s="13">
        <f>SUM('Model inputs'!B144,'Model inputs'!B145)</f>
        <v>253.08200179043132</v>
      </c>
      <c r="E143" s="13">
        <f>SUM('Model inputs'!E144,'Model inputs'!E145)</f>
        <v>0</v>
      </c>
      <c r="F143" s="13">
        <f>SUM('Model inputs'!F144,'Model inputs'!F145)</f>
        <v>188.95730399999997</v>
      </c>
      <c r="G143" s="13">
        <f>SUM('Model inputs'!G144,'Model inputs'!G145)</f>
        <v>203.16694967999996</v>
      </c>
      <c r="H143" s="13">
        <f>SUM('Model inputs'!H144,'Model inputs'!H145)</f>
        <v>216.63887200559998</v>
      </c>
      <c r="I143" s="13">
        <f>SUM('Model inputs'!I144,'Model inputs'!I145)</f>
        <v>229.42011739615197</v>
      </c>
      <c r="J143" s="13">
        <f>SUM('Model inputs'!J144,'Model inputs'!J145)</f>
        <v>241.55432770092978</v>
      </c>
    </row>
    <row r="144" outlineLevel="1">
      <c r="A144" t="inlineStr" s="21">
        <is>
          <t xml:space="preserve">Inference cost (USD, estimate) &gt; Classroom</t>
        </is>
      </c>
      <c r="B144" s="15">
        <f>'Model inputs'!B31*'Selected policy'!B5</f>
        <v>163.34909792817245</v>
      </c>
      <c r="E144" s="15">
        <f>0</f>
        <v>0</v>
      </c>
      <c r="F144" s="15">
        <f>'Model inputs'!F31*'Selected policy'!B5</f>
        <v>125.7678</v>
      </c>
      <c r="G144" s="15">
        <f>'Model inputs'!G31*'Selected policy'!B5</f>
        <v>133.748766</v>
      </c>
      <c r="H144" s="15">
        <f>'Model inputs'!H31*'Selected policy'!B5</f>
        <v>141.49030302</v>
      </c>
      <c r="I144" s="15">
        <f>'Model inputs'!I31*'Selected policy'!B5</f>
        <v>148.9995939294</v>
      </c>
      <c r="J144" s="15">
        <f>'Model inputs'!J31*'Selected policy'!B5</f>
        <v>156.28360611151797</v>
      </c>
    </row>
    <row r="145" outlineLevel="1">
      <c r="A145" t="inlineStr" s="21">
        <is>
          <t xml:space="preserve">Inference cost (USD, estimate) &gt; Household</t>
        </is>
      </c>
      <c r="B145" s="15">
        <f>'Model inputs'!B32*'Selected policy'!B5</f>
        <v>89.73290386225887</v>
      </c>
      <c r="E145" s="15">
        <f>0</f>
        <v>0</v>
      </c>
      <c r="F145" s="15">
        <f>'Model inputs'!F32*'Selected policy'!B5</f>
        <v>63.189503999999985</v>
      </c>
      <c r="G145" s="15">
        <f>'Model inputs'!G32*'Selected policy'!B5</f>
        <v>69.41818367999998</v>
      </c>
      <c r="H145" s="15">
        <f>'Model inputs'!H32*'Selected policy'!B5</f>
        <v>75.14856898559998</v>
      </c>
      <c r="I145" s="15">
        <f>'Model inputs'!I32*'Selected policy'!B5</f>
        <v>80.42052346675199</v>
      </c>
      <c r="J145" s="15">
        <f>'Model inputs'!J32*'Selected policy'!B5</f>
        <v>85.27072158941182</v>
      </c>
    </row>
    <row r="146">
      <c r="A146" t="inlineStr" s="19">
        <is>
          <t xml:space="preserve">neatlogs bill (USD, derived) · Gross profit (USD) · Gross margin</t>
        </is>
      </c>
      <c r="B146" s="15">
        <f>IF('Model inputs'!B12="","",'Model inputs'!B12)</f>
        <v>0</v>
      </c>
      <c r="E146" s="15">
        <v>0</v>
      </c>
      <c r="F146" s="15">
        <f>IF(IF(IF(ISERROR('Model inputs'!C55=1),'Model inputs'!C55=1,IF('Model inputs'!C55="","",'Model inputs'!C55=1))="",FALSE,IF(ISERROR('Model inputs'!C55=1),'Model inputs'!C55=1,IF('Model inputs'!C55="","",'Model inputs'!C55=1))),0,IF(IF(IF(ISERROR('Model inputs'!F147&lt;='Model inputs'!C56),'Model inputs'!F147&lt;='Model inputs'!C56,IF(OR('Model inputs'!F147="",'Model inputs'!C56=""),"",'Model inputs'!F147&lt;='Model inputs'!C56))="",FALSE,IF(ISERROR('Model inputs'!F147&lt;='Model inputs'!C56),'Model inputs'!F147&lt;='Model inputs'!C56,IF(OR('Model inputs'!F147="",'Model inputs'!C56=""),"",'Model inputs'!F147&lt;='Model inputs'!C56))),0,IF(IF(IF(ISERROR('Model inputs'!F147&lt;='Model inputs'!C58),'Model inputs'!F147&lt;='Model inputs'!C58,IF(OR('Model inputs'!F147="",'Model inputs'!C58=""),"",'Model inputs'!F147&lt;='Model inputs'!C58))="",FALSE,IF(ISERROR('Model inputs'!F147&lt;='Model inputs'!C58),'Model inputs'!F147&lt;='Model inputs'!C58,IF(OR('Model inputs'!F147="",'Model inputs'!C58=""),"",'Model inputs'!F147&lt;='Model inputs'!C58))),IF('Model inputs'!C59="","",'Model inputs'!C59),'Model inputs'!C59+CEILING(('Model inputs'!F147-'Model inputs'!C58)/100000,1)*'Model inputs'!C57)))</f>
        <v>0</v>
      </c>
      <c r="G146" s="15">
        <f>IF(IF(IF(ISERROR('Model inputs'!C55=1),'Model inputs'!C55=1,IF('Model inputs'!C55="","",'Model inputs'!C55=1))="",FALSE,IF(ISERROR('Model inputs'!C55=1),'Model inputs'!C55=1,IF('Model inputs'!C55="","",'Model inputs'!C55=1))),0,IF(IF(IF(ISERROR('Model inputs'!G147&lt;='Model inputs'!C56),'Model inputs'!G147&lt;='Model inputs'!C56,IF(OR('Model inputs'!G147="",'Model inputs'!C56=""),"",'Model inputs'!G147&lt;='Model inputs'!C56))="",FALSE,IF(ISERROR('Model inputs'!G147&lt;='Model inputs'!C56),'Model inputs'!G147&lt;='Model inputs'!C56,IF(OR('Model inputs'!G147="",'Model inputs'!C56=""),"",'Model inputs'!G147&lt;='Model inputs'!C56))),0,IF(IF(IF(ISERROR('Model inputs'!G147&lt;='Model inputs'!C58),'Model inputs'!G147&lt;='Model inputs'!C58,IF(OR('Model inputs'!G147="",'Model inputs'!C58=""),"",'Model inputs'!G147&lt;='Model inputs'!C58))="",FALSE,IF(ISERROR('Model inputs'!G147&lt;='Model inputs'!C58),'Model inputs'!G147&lt;='Model inputs'!C58,IF(OR('Model inputs'!G147="",'Model inputs'!C58=""),"",'Model inputs'!G147&lt;='Model inputs'!C58))),IF('Model inputs'!C59="","",'Model inputs'!C59),'Model inputs'!C59+CEILING(('Model inputs'!G147-'Model inputs'!C58)/100000,1)*'Model inputs'!C57)))</f>
        <v>0</v>
      </c>
      <c r="H146" s="15">
        <f>IF(IF(IF(ISERROR('Model inputs'!C55=1),'Model inputs'!C55=1,IF('Model inputs'!C55="","",'Model inputs'!C55=1))="",FALSE,IF(ISERROR('Model inputs'!C55=1),'Model inputs'!C55=1,IF('Model inputs'!C55="","",'Model inputs'!C55=1))),0,IF(IF(IF(ISERROR('Model inputs'!H147&lt;='Model inputs'!C56),'Model inputs'!H147&lt;='Model inputs'!C56,IF(OR('Model inputs'!H147="",'Model inputs'!C56=""),"",'Model inputs'!H147&lt;='Model inputs'!C56))="",FALSE,IF(ISERROR('Model inputs'!H147&lt;='Model inputs'!C56),'Model inputs'!H147&lt;='Model inputs'!C56,IF(OR('Model inputs'!H147="",'Model inputs'!C56=""),"",'Model inputs'!H147&lt;='Model inputs'!C56))),0,IF(IF(IF(ISERROR('Model inputs'!H147&lt;='Model inputs'!C58),'Model inputs'!H147&lt;='Model inputs'!C58,IF(OR('Model inputs'!H147="",'Model inputs'!C58=""),"",'Model inputs'!H147&lt;='Model inputs'!C58))="",FALSE,IF(ISERROR('Model inputs'!H147&lt;='Model inputs'!C58),'Model inputs'!H147&lt;='Model inputs'!C58,IF(OR('Model inputs'!H147="",'Model inputs'!C58=""),"",'Model inputs'!H147&lt;='Model inputs'!C58))),IF('Model inputs'!C59="","",'Model inputs'!C59),'Model inputs'!C59+CEILING(('Model inputs'!H147-'Model inputs'!C58)/100000,1)*'Model inputs'!C57)))</f>
        <v>0</v>
      </c>
      <c r="I146" s="15">
        <f>IF(IF(IF(ISERROR('Model inputs'!C55=1),'Model inputs'!C55=1,IF('Model inputs'!C55="","",'Model inputs'!C55=1))="",FALSE,IF(ISERROR('Model inputs'!C55=1),'Model inputs'!C55=1,IF('Model inputs'!C55="","",'Model inputs'!C55=1))),0,IF(IF(IF(ISERROR('Model inputs'!I147&lt;='Model inputs'!C56),'Model inputs'!I147&lt;='Model inputs'!C56,IF(OR('Model inputs'!I147="",'Model inputs'!C56=""),"",'Model inputs'!I147&lt;='Model inputs'!C56))="",FALSE,IF(ISERROR('Model inputs'!I147&lt;='Model inputs'!C56),'Model inputs'!I147&lt;='Model inputs'!C56,IF(OR('Model inputs'!I147="",'Model inputs'!C56=""),"",'Model inputs'!I147&lt;='Model inputs'!C56))),0,IF(IF(IF(ISERROR('Model inputs'!I147&lt;='Model inputs'!C58),'Model inputs'!I147&lt;='Model inputs'!C58,IF(OR('Model inputs'!I147="",'Model inputs'!C58=""),"",'Model inputs'!I147&lt;='Model inputs'!C58))="",FALSE,IF(ISERROR('Model inputs'!I147&lt;='Model inputs'!C58),'Model inputs'!I147&lt;='Model inputs'!C58,IF(OR('Model inputs'!I147="",'Model inputs'!C58=""),"",'Model inputs'!I147&lt;='Model inputs'!C58))),IF('Model inputs'!C59="","",'Model inputs'!C59),'Model inputs'!C59+CEILING(('Model inputs'!I147-'Model inputs'!C58)/100000,1)*'Model inputs'!C57)))</f>
        <v>0</v>
      </c>
      <c r="J146" s="15">
        <f>IF(IF(IF(ISERROR('Model inputs'!C55=1),'Model inputs'!C55=1,IF('Model inputs'!C55="","",'Model inputs'!C55=1))="",FALSE,IF(ISERROR('Model inputs'!C55=1),'Model inputs'!C55=1,IF('Model inputs'!C55="","",'Model inputs'!C55=1))),0,IF(IF(IF(ISERROR('Model inputs'!J147&lt;='Model inputs'!C56),'Model inputs'!J147&lt;='Model inputs'!C56,IF(OR('Model inputs'!J147="",'Model inputs'!C56=""),"",'Model inputs'!J147&lt;='Model inputs'!C56))="",FALSE,IF(ISERROR('Model inputs'!J147&lt;='Model inputs'!C56),'Model inputs'!J147&lt;='Model inputs'!C56,IF(OR('Model inputs'!J147="",'Model inputs'!C56=""),"",'Model inputs'!J147&lt;='Model inputs'!C56))),0,IF(IF(IF(ISERROR('Model inputs'!J147&lt;='Model inputs'!C58),'Model inputs'!J147&lt;='Model inputs'!C58,IF(OR('Model inputs'!J147="",'Model inputs'!C58=""),"",'Model inputs'!J147&lt;='Model inputs'!C58))="",FALSE,IF(ISERROR('Model inputs'!J147&lt;='Model inputs'!C58),'Model inputs'!J147&lt;='Model inputs'!C58,IF(OR('Model inputs'!J147="",'Model inputs'!C58=""),"",'Model inputs'!J147&lt;='Model inputs'!C58))),IF('Model inputs'!C59="","",'Model inputs'!C59),'Model inputs'!C59+CEILING(('Model inputs'!J147-'Model inputs'!C58)/100000,1)*'Model inputs'!C57)))</f>
        <v>0</v>
      </c>
    </row>
    <row r="147">
      <c r="A147" t="inlineStr" s="19">
        <is>
          <t xml:space="preserve">Spans per month (derived) · Gross profit (USD) · Gross margin</t>
        </is>
      </c>
      <c r="B147" s="12">
        <f>IF('Model inputs'!B75="","",'Model inputs'!B75)</f>
        <v>193784.07487781878</v>
      </c>
      <c r="E147" s="12">
        <v>0</v>
      </c>
      <c r="F147" s="12">
        <f>'Model inputs'!F30*'Model inputs'!C107</f>
        <v>144684</v>
      </c>
      <c r="G147" s="12">
        <f>'Model inputs'!G30*'Model inputs'!C107</f>
        <v>155564.28</v>
      </c>
      <c r="H147" s="12">
        <f>'Model inputs'!H30*'Model inputs'!C107</f>
        <v>165879.68759999998</v>
      </c>
      <c r="I147" s="12">
        <f>'Model inputs'!I30*'Model inputs'!C107</f>
        <v>175666.246092</v>
      </c>
      <c r="J147" s="12">
        <f>'Model inputs'!J30*'Model inputs'!C107</f>
        <v>184957.37189963998</v>
      </c>
    </row>
    <row r="149">
      <c r="A149" t="inlineStr" s="17">
        <is>
          <t xml:space="preserve">Dimensions</t>
        </is>
      </c>
    </row>
    <row r="150">
      <c r="A150" t="inlineStr" s="19">
        <is>
          <t xml:space="preserve">Plan</t>
        </is>
      </c>
      <c r="B150" t="inlineStr" s="30">
        <is>
          <t xml:space="preserve">Classroom</t>
        </is>
      </c>
      <c r="C150" t="inlineStr" s="30">
        <is>
          <t xml:space="preserve">Household</t>
        </is>
      </c>
    </row>
    <row r="151">
      <c r="A151" t="inlineStr" s="19">
        <is>
          <t xml:space="preserve">Illustration policy</t>
        </is>
      </c>
      <c r="B151" t="inlineStr" s="30">
        <is>
          <t xml:space="preserve">Full (8 pictures)</t>
        </is>
      </c>
      <c r="C151" t="inlineStr" s="30">
        <is>
          <t xml:space="preserve">Half (4 pictures)</t>
        </is>
      </c>
      <c r="D151" t="inlineStr" s="30">
        <is>
          <t xml:space="preserve">Text only (0)</t>
        </is>
      </c>
    </row>
    <row r="152">
      <c r="A152" t="inlineStr" s="19">
        <is>
          <t xml:space="preserve">Verification policy</t>
        </is>
      </c>
      <c r="B152" t="inlineStr" s="30">
        <is>
          <t xml:space="preserve">Sampled</t>
        </is>
      </c>
      <c r="C152" t="inlineStr" s="30">
        <is>
          <t xml:space="preserve">Verify all</t>
        </is>
      </c>
    </row>
    <row r="153">
      <c r="A153" t="inlineStr" s="19">
        <is>
          <t xml:space="preserve">Cost input</t>
        </is>
      </c>
      <c r="B153" t="inlineStr" s="30">
        <is>
          <t xml:space="preserve">Narration price per page</t>
        </is>
      </c>
      <c r="C153" t="inlineStr" s="30">
        <is>
          <t xml:space="preserve">Pages per story</t>
        </is>
      </c>
      <c r="D153" t="inlineStr" s="30">
        <is>
          <t xml:space="preserve">Picture price each</t>
        </is>
      </c>
      <c r="E153" t="inlineStr" s="30">
        <is>
          <t xml:space="preserve">Sampled share of gated uplift</t>
        </is>
      </c>
      <c r="F153" t="inlineStr" s="30">
        <is>
          <t xml:space="preserve">Text and verification B0 ungated</t>
        </is>
      </c>
      <c r="G153" t="inlineStr" s="30">
        <is>
          <t xml:space="preserve">Text and verification B1 gated</t>
        </is>
      </c>
    </row>
  </sheetData>
  <mergeCells count="2">
    <mergeCell ref="A1:P1"/>
    <mergeCell ref="A2:P2"/>
  </mergeCells>
</worksheet>
</file>

<file path=xl/worksheets/sheet5.xml><?xml version="1.0" encoding="utf-8"?>
<worksheet xmlns="http://schemas.openxmlformats.org/spreadsheetml/2006/main">
  <dimension ref="A1:F6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30">
        <is>
          <t xml:space="preserve">Model inputs</t>
        </is>
      </c>
      <c r="B5" t="inlineStr" s="30">
        <is>
          <t xml:space="preserve">C72</t>
        </is>
      </c>
      <c r="C5" t="inlineStr" s="30">
        <is>
          <t xml:space="preserve">Share of gated uplift paid (derived)</t>
        </is>
      </c>
      <c r="D5" t="inlineStr" s="30">
        <is>
          <t xml:space="preserve"/>
        </is>
      </c>
      <c r="E5" t="inlineStr" s="30">
        <is>
          <t xml:space="preserve">Main Scenario</t>
        </is>
      </c>
      <c r="F5" t="inlineStr" s="30">
        <is>
          <t xml:space="preserve">It reads Verification policy, which this workbook does not contain.</t>
        </is>
      </c>
    </row>
    <row r="6">
      <c r="A6" t="inlineStr" s="30">
        <is>
          <t xml:space="preserve">Model inputs</t>
        </is>
      </c>
      <c r="B6" t="inlineStr" s="30">
        <is>
          <t xml:space="preserve">D128</t>
        </is>
      </c>
      <c r="C6" t="inlineStr" s="30">
        <is>
          <t xml:space="preserve">Share of gated uplift paid (derived)</t>
        </is>
      </c>
      <c r="D6" t="inlineStr" s="30">
        <is>
          <t xml:space="preserve"/>
        </is>
      </c>
      <c r="E6" t="inlineStr" s="30">
        <is>
          <t xml:space="preserve">Main Scenario</t>
        </is>
      </c>
      <c r="F6" t="inlineStr" s="30">
        <is>
          <t xml:space="preserve">It reads Verification policy, which this workbook does not contain.</t>
        </is>
      </c>
    </row>
  </sheetData>
  <mergeCells count="2">
    <mergeCell ref="A1:F1"/>
    <mergeCell ref="A2:F2"/>
  </mergeCells>
</worksheet>
</file>