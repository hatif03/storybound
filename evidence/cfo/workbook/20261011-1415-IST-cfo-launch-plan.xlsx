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rom project to product what a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###;(#,##0.###)"/>
    <numFmt numFmtId="165" formatCode="&quot;$&quot;#,##0.00;(&quot;$&quot;#,##0.00)"/>
    <numFmt numFmtId="166" formatCode="#,##0.0;(#,##0.0)"/>
    <numFmt numFmtId="167" formatCode="#,##0;(#,##0)"/>
    <numFmt numFmtId="168" formatCode="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165" fontId="3" fillId="4" borderId="1" xfId="0" applyNumberFormat="1" applyFill="1" applyFont="1" applyBorder="1" applyAlignment="1">
      <alignment vertical="center" horizontal="right"/>
    </xf>
    <xf numFmtId="0" fontId="0" fillId="5" borderId="0" xfId="0" applyFill="1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From project to product: what a real launch costs (assumed)</t>
        </is>
      </c>
    </row>
    <row r="2" ht="20" customHeight="1">
      <c r="A2" t="inlineStr" s="2">
        <is>
          <t xml:space="preserve">Launch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Founder pay per month (one person, USD, assumed)</t>
        </is>
      </c>
      <c r="B5" s="6">
        <f>4000</f>
        <v>4000</v>
      </c>
    </row>
    <row r="6">
      <c r="A6" t="inlineStr" s="7">
        <is>
          <t xml:space="preserve">Part-time human safety reviewer per month (USD, assumed)</t>
        </is>
      </c>
      <c r="B6" s="8">
        <f>1000</f>
        <v>1000</v>
      </c>
    </row>
    <row r="7">
      <c r="A7" t="inlineStr" s="7">
        <is>
          <t xml:space="preserve">Legal retainer per month (child privacy, terms, USD, assumed)</t>
        </is>
      </c>
      <c r="B7" s="8">
        <f>500</f>
        <v>500</v>
      </c>
    </row>
    <row r="8">
      <c r="A8" t="inlineStr" s="7">
        <is>
          <t xml:space="preserve">Marketing and community per month (USD, assumed)</t>
        </is>
      </c>
      <c r="B8" s="8">
        <f>1500</f>
        <v>1500</v>
      </c>
    </row>
    <row r="9">
      <c r="A9" t="inlineStr" s="7">
        <is>
          <t xml:space="preserve">Insurance per month (cyber and product, USD, assumed)</t>
        </is>
      </c>
      <c r="B9" s="8">
        <f>150</f>
        <v>150</v>
      </c>
    </row>
    <row r="10">
      <c r="A10" t="inlineStr" s="7">
        <is>
          <t xml:space="preserve">Tools per month (support desk, email, error tracking, USD, assumed)</t>
        </is>
      </c>
      <c r="B10" s="8">
        <f>150</f>
        <v>150</v>
      </c>
    </row>
    <row r="11">
      <c r="A11" t="inlineStr" s="7">
        <is>
          <t xml:space="preserve">Payment and app-store fees, share of revenue (assumed)</t>
        </is>
      </c>
      <c r="B11" s="8">
        <f>0.15</f>
        <v>0.15</v>
      </c>
    </row>
    <row r="12">
      <c r="A12" t="inlineStr" s="7">
        <is>
          <t xml:space="preserve">One-time: child-privacy legal setup (consent flow, privacy policy, USD, placeholder)</t>
        </is>
      </c>
      <c r="B12" s="8">
        <f>8000</f>
        <v>8000</v>
      </c>
    </row>
    <row r="13">
      <c r="A13" t="inlineStr" s="7">
        <is>
          <t xml:space="preserve">One-time: data protection impact assessment (USD, placeholder)</t>
        </is>
      </c>
      <c r="B13" s="8">
        <f>3000</f>
        <v>3000</v>
      </c>
    </row>
    <row r="14">
      <c r="A14" t="inlineStr" s="7">
        <is>
          <t xml:space="preserve">One-time: security review (USD, placeholder)</t>
        </is>
      </c>
      <c r="B14" s="8">
        <f>4000</f>
        <v>4000</v>
      </c>
    </row>
    <row r="15">
      <c r="A15" t="inlineStr" s="7">
        <is>
          <t xml:space="preserve">One-time: accessibility audit (USD, placeholder)</t>
        </is>
      </c>
      <c r="B15" s="8">
        <f>2500</f>
        <v>2500</v>
      </c>
    </row>
    <row r="16">
      <c r="A16" t="inlineStr" s="7">
        <is>
          <t xml:space="preserve">One-time: company, trademark and domain (USD, placeholder)</t>
        </is>
      </c>
      <c r="B16" s="8">
        <f>1500</f>
        <v>1500</v>
      </c>
    </row>
    <row r="17">
      <c r="A17" t="inlineStr" s="7">
        <is>
          <t xml:space="preserve">One-time: test devices and a testing panel of children with parents (USD, placeholder)</t>
        </is>
      </c>
      <c r="B17" s="8">
        <f>2500</f>
        <v>2500</v>
      </c>
    </row>
    <row r="18">
      <c r="A18" t="inlineStr" s="7">
        <is>
          <t xml:space="preserve">One-time: human red-team of the safety screen (USD, placeholder)</t>
        </is>
      </c>
      <c r="B18" s="8">
        <f>2000</f>
        <v>2000</v>
      </c>
    </row>
    <row r="19">
      <c r="A19" t="inlineStr" s="7">
        <is>
          <t xml:space="preserve">Real launch operating cost per month (USD, derived)</t>
        </is>
      </c>
      <c r="B19" s="8">
        <f>'From project to product what a'!B5+'From project to product what a'!B6+'From project to product what a'!B7+'From project to product what a'!B8+'From project to product what a'!B9+'From project to product what a'!B10</f>
        <v>7300</v>
      </c>
    </row>
    <row r="20">
      <c r="A20" t="inlineStr" s="7">
        <is>
          <t xml:space="preserve">One-time launch cost (USD, derived)</t>
        </is>
      </c>
      <c r="B20" s="8">
        <f>'From project to product what a'!B12+'From project to product what a'!B13+'From project to product what a'!B14+'From project to product what a'!B15+'From project to product what a'!B16+'From project to product what a'!B17+'From project to product what a'!B18</f>
        <v>23500</v>
      </c>
    </row>
    <row r="21">
      <c r="A21" t="inlineStr" s="7">
        <is>
          <t xml:space="preserve">Cost per story, gated, Pip chooses 4 pictures (USD, estimate)</t>
        </is>
      </c>
      <c r="B21" s="8">
        <f>0.0199+'Model inputs'!B6+8*0.002</f>
        <v>0.1959</v>
      </c>
    </row>
    <row r="22">
      <c r="A22" t="inlineStr" s="7">
        <is>
          <t xml:space="preserve">Contribution per Household customer per month (USD, derived)</t>
        </is>
      </c>
      <c r="B22" s="8">
        <f>'Model inputs'!B9*(1-'From project to product what a'!B11)-'Model inputs'!B13*'From project to product what a'!B21-'Model inputs'!B14-'Model inputs'!B10</f>
        <v>2.93102</v>
      </c>
    </row>
    <row r="23">
      <c r="A23" t="inlineStr" s="7">
        <is>
          <t xml:space="preserve">Households needed to cover the real operating cost (derived)</t>
        </is>
      </c>
      <c r="B23" s="8">
        <f>'From project to product what a'!B19/'From project to product what a'!B22</f>
        <v>2490.6005417909123</v>
      </c>
    </row>
    <row r="24">
      <c r="A24" t="inlineStr" s="7">
        <is>
          <t xml:space="preserve">Months of runway if starting with the one-time cost paid and 100,000 USD raised (derived, no revenue)</t>
        </is>
      </c>
      <c r="B24" s="8">
        <f>(100000-'From project to product what a'!B20)/'From project to product what a'!B19</f>
        <v>10.479452054794521</v>
      </c>
    </row>
    <row r="25">
      <c r="A25" t="inlineStr" s="5">
        <is>
          <t xml:space="preserve">Household price per month that breaks even at 500 households (USD, derived)</t>
        </is>
      </c>
      <c r="B25" s="6">
        <f>('From project to product what a'!B19/500+'Model inputs'!B13*'From project to product what a'!B21+'Model inputs'!B14+'Model inputs'!B10)/(1-'From project to product what a'!B11)</f>
        <v>20.718211764705885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C3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10">
        <is>
          <t xml:space="preserve">Picture cost per story when Pip chooses (USD, estimate)</t>
        </is>
      </c>
      <c r="B6" s="8">
        <f>'Model inputs'!B16*0.04</f>
        <v>0.16</v>
      </c>
    </row>
    <row r="7">
      <c r="A7" t="inlineStr" s="10">
        <is>
          <t xml:space="preserve">Price per month (USD, assumed)</t>
        </is>
      </c>
      <c r="B7" s="11">
        <v>0</v>
      </c>
    </row>
    <row r="8" outlineLevel="1">
      <c r="A8" t="inlineStr" s="12">
        <is>
          <t xml:space="preserve">Price per month (USD, assumed) &gt; Classroom</t>
        </is>
      </c>
      <c r="B8" s="13">
        <f>29</f>
        <v>29</v>
      </c>
    </row>
    <row r="9" outlineLevel="1">
      <c r="A9" t="inlineStr" s="12">
        <is>
          <t xml:space="preserve">Price per month (USD, assumed) &gt; Household</t>
        </is>
      </c>
      <c r="B9" s="13">
        <f>6.99</f>
        <v>6.99</v>
      </c>
    </row>
    <row r="10">
      <c r="A10" t="inlineStr" s="10">
        <is>
          <t xml:space="preserve">Safety review cost per household per month (USD, derived)</t>
        </is>
      </c>
      <c r="B10" s="8">
        <f>'Model inputs'!B17*'Model inputs'!B21</f>
        <v>1.2000000000000002</v>
      </c>
    </row>
    <row r="11">
      <c r="A11" t="inlineStr" s="10">
        <is>
          <t xml:space="preserve">Stories used per customer (derived)</t>
        </is>
      </c>
      <c r="B11" s="14">
        <f>'Model inputs'!B22*'Model inputs'!B18</f>
        <v>0</v>
      </c>
    </row>
    <row r="12" outlineLevel="1">
      <c r="A12" t="inlineStr" s="12">
        <is>
          <t xml:space="preserve">Stories used per customer (derived) &gt; Classroom</t>
        </is>
      </c>
      <c r="B12" s="15">
        <f>'Model inputs'!B23*'Model inputs'!B19</f>
        <v>60</v>
      </c>
    </row>
    <row r="13" outlineLevel="1">
      <c r="A13" t="inlineStr" s="12">
        <is>
          <t xml:space="preserve">Stories used per customer (derived) &gt; Household</t>
        </is>
      </c>
      <c r="B13" s="15">
        <f>'Model inputs'!B24*'Model inputs'!B20</f>
        <v>7.199999999999999</v>
      </c>
    </row>
    <row r="14">
      <c r="A14" t="inlineStr" s="10">
        <is>
          <t xml:space="preserve">Support cost per household per month (USD, derived)</t>
        </is>
      </c>
      <c r="B14" s="8">
        <f>'Model inputs'!B26/100*'Model inputs'!B15/60*'Model inputs'!B25</f>
        <v>0.4</v>
      </c>
    </row>
    <row r="15">
      <c r="A15" t="inlineStr" s="10">
        <is>
          <t xml:space="preserve">Minutes per support ticket (assumed)</t>
        </is>
      </c>
      <c r="B15" s="8">
        <f>12</f>
        <v>12</v>
      </c>
    </row>
    <row r="16">
      <c r="A16" t="inlineStr" s="10">
        <is>
          <t xml:space="preserve">Pictures per story when Pip chooses (from the picture budget in config)</t>
        </is>
      </c>
      <c r="B16" s="8">
        <f>4</f>
        <v>4</v>
      </c>
    </row>
    <row r="17">
      <c r="A17" t="inlineStr" s="10">
        <is>
          <t xml:space="preserve">Safety review cost per story (USD, derived)</t>
        </is>
      </c>
      <c r="B17" s="8">
        <f>'Model inputs'!B29/100*'Model inputs'!B27/60*'Model inputs'!B28</f>
        <v>0.1</v>
      </c>
    </row>
    <row r="18">
      <c r="A18" t="inlineStr" s="10">
        <is>
          <t xml:space="preserve">Stories included per month (assumed)</t>
        </is>
      </c>
      <c r="B18" s="16">
        <v>0</v>
      </c>
    </row>
    <row r="19" outlineLevel="1">
      <c r="A19" t="inlineStr" s="12">
        <is>
          <t xml:space="preserve">Stories included per month (assumed) &gt; Classroom</t>
        </is>
      </c>
      <c r="B19" s="17">
        <f>100</f>
        <v>100</v>
      </c>
    </row>
    <row r="20" outlineLevel="1">
      <c r="A20" t="inlineStr" s="12">
        <is>
          <t xml:space="preserve">Stories included per month (assumed) &gt; Household</t>
        </is>
      </c>
      <c r="B20" s="17">
        <f>12</f>
        <v>12</v>
      </c>
    </row>
    <row r="21">
      <c r="A21" t="inlineStr" s="10">
        <is>
          <t xml:space="preserve">Stories per household per month (assumed)</t>
        </is>
      </c>
      <c r="B21" s="8">
        <f>12</f>
        <v>12</v>
      </c>
    </row>
    <row r="22">
      <c r="A22" t="inlineStr" s="10">
        <is>
          <t xml:space="preserve">Stories used, share of included (assumed)</t>
        </is>
      </c>
      <c r="B22" s="18">
        <v>0</v>
      </c>
    </row>
    <row r="23" outlineLevel="1">
      <c r="A23" t="inlineStr" s="12">
        <is>
          <t xml:space="preserve">Stories used, share of included (assumed) &gt; Classroom</t>
        </is>
      </c>
      <c r="B23" s="19">
        <f>0.6</f>
        <v>0.6</v>
      </c>
    </row>
    <row r="24" outlineLevel="1">
      <c r="A24" t="inlineStr" s="12">
        <is>
          <t xml:space="preserve">Stories used, share of included (assumed) &gt; Household</t>
        </is>
      </c>
      <c r="B24" s="19">
        <f>0.6</f>
        <v>0.6</v>
      </c>
    </row>
    <row r="25">
      <c r="A25" t="inlineStr" s="10">
        <is>
          <t xml:space="preserve">Support hourly cost (USD, assumed)</t>
        </is>
      </c>
      <c r="B25" s="8">
        <f>25</f>
        <v>25</v>
      </c>
    </row>
    <row r="26">
      <c r="A26" t="inlineStr" s="10">
        <is>
          <t xml:space="preserve">Support tickets per 100 households per month (assumed)</t>
        </is>
      </c>
      <c r="B26" s="8">
        <f>8</f>
        <v>8</v>
      </c>
    </row>
    <row r="27">
      <c r="A27" t="inlineStr" s="10">
        <is>
          <t xml:space="preserve">Minutes per flagged story review (assumed)</t>
        </is>
      </c>
      <c r="B27" s="8">
        <f>10</f>
        <v>10</v>
      </c>
    </row>
    <row r="28">
      <c r="A28" t="inlineStr" s="10">
        <is>
          <t xml:space="preserve">Safety reviewer hourly cost (USD, assumed)</t>
        </is>
      </c>
      <c r="B28" s="8">
        <f>30</f>
        <v>30</v>
      </c>
    </row>
    <row r="29">
      <c r="A29" t="inlineStr" s="10">
        <is>
          <t xml:space="preserve">Stories flagged for a human look per 100 stories (assumed)</t>
        </is>
      </c>
      <c r="B29" s="8">
        <f>2</f>
        <v>2</v>
      </c>
    </row>
    <row r="31">
      <c r="A31" t="inlineStr" s="9">
        <is>
          <t xml:space="preserve">Dimensions</t>
        </is>
      </c>
    </row>
    <row r="32">
      <c r="A32" t="inlineStr" s="10">
        <is>
          <t xml:space="preserve">Plan</t>
        </is>
      </c>
      <c r="B32" t="inlineStr" s="20">
        <is>
          <t xml:space="preserve">Classroom</t>
        </is>
      </c>
      <c r="C32" t="inlineStr" s="20">
        <is>
          <t xml:space="preserve">Household</t>
        </is>
      </c>
    </row>
  </sheetData>
  <mergeCells count="2">
    <mergeCell ref="A1:B1"/>
    <mergeCell ref="A2:B2"/>
  </mergeCells>
</worksheet>
</file>