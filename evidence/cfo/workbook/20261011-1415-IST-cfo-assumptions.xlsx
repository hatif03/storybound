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Plan assumptions" sheetId="1" r:id="rId1"/>
    <sheet name="Cost per story inputs" sheetId="2" r:id="rId2"/>
    <sheet name="Verification policy settings" sheetId="3" r:id="rId3"/>
    <sheet name="Illustration policy settings" sheetId="4" r:id="rId4"/>
    <sheet name="Other costs and cash inputs" sheetId="5" r:id="rId5"/>
    <sheet name="Launch operating costs (assumed" sheetId="6" r:id="rId6"/>
    <sheet name="Model inputs" sheetId="7" r:id="rId7"/>
  </sheets>
  <calcPr calcMode="auto" fullCalcOnLoad="1" forceFullCalc="1"/>
</workbook>
</file>

<file path=xl/styles.xml><?xml version="1.0" encoding="utf-8"?>
<styleSheet xmlns="http://schemas.openxmlformats.org/spreadsheetml/2006/main">
  <numFmts count="9">
    <numFmt numFmtId="164" formatCode="&quot;$&quot;#,##0.00;(&quot;$&quot;#,##0.00)"/>
    <numFmt numFmtId="165" formatCode="#,##0;(#,##0)"/>
    <numFmt numFmtId="166" formatCode="0.0%"/>
    <numFmt numFmtId="167" formatCode="0%"/>
    <numFmt numFmtId="168" formatCode="#,##0.0;(#,##0.0)"/>
    <numFmt numFmtId="169" formatCode="#,##0.0000;(#,##0.0000)"/>
    <numFmt numFmtId="170" formatCode="#,##0.###;(#,##0.###)"/>
    <numFmt numFmtId="171" formatCode="&quot;$&quot;#,##0.0000;(&quot;$&quot;#,##0.0000)"/>
    <numFmt numFmtId="172" formatCode="&quot;$&quot;#,##0;(&quot;$&quot;#,##0)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6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  <xf numFmtId="166" fontId="3" fillId="4" borderId="1" xfId="0" applyNumberFormat="1" applyFill="1" applyFont="1" applyBorder="1" applyAlignment="1">
      <alignment vertical="center" horizontal="right"/>
    </xf>
    <xf numFmtId="167" fontId="3" fillId="4" borderId="1" xfId="0" applyNumberFormat="1" applyFill="1" applyFont="1" applyBorder="1" applyAlignment="1">
      <alignment vertical="center" horizontal="right"/>
    </xf>
    <xf numFmtId="168" fontId="3" fillId="4" borderId="1" xfId="0" applyNumberFormat="1" applyFill="1" applyFont="1" applyBorder="1" applyAlignment="1">
      <alignment vertical="center" horizontal="right"/>
    </xf>
    <xf numFmtId="169" fontId="3" fillId="4" borderId="1" xfId="0" applyNumberFormat="1" applyFill="1" applyFont="1" applyBorder="1" applyAlignment="1">
      <alignment vertical="center" horizontal="right"/>
    </xf>
    <xf numFmtId="170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9" fontId="0" fillId="0" borderId="0" xfId="0" applyNumberFormat="1" applyAlignment="1">
      <alignment vertical="center" horizontal="right"/>
    </xf>
    <xf numFmtId="170" fontId="0" fillId="0" borderId="0" xfId="0" applyNumberFormat="1" applyAlignment="1">
      <alignment vertical="center" horizontal="right"/>
    </xf>
    <xf numFmtId="171" fontId="3" fillId="4" borderId="1" xfId="0" applyNumberFormat="1" applyFill="1" applyFont="1" applyBorder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171" fontId="0" fillId="0" borderId="0" xfId="0" applyNumberFormat="1" applyAlignment="1">
      <alignment vertical="center" horizontal="right"/>
    </xf>
    <xf numFmtId="172" fontId="3" fillId="4" borderId="1" xfId="0" applyNumberFormat="1" applyFill="1" applyFont="1" applyBorder="1" applyAlignment="1">
      <alignment vertical="center" horizontal="right"/>
    </xf>
    <xf numFmtId="172" fontId="0" fillId="0" borderId="0" xfId="0" applyNumberFormat="1" applyAlignment="1">
      <alignment vertical="center" horizontal="right"/>
    </xf>
    <xf numFmtId="0" fontId="3" fillId="4" borderId="1" xfId="0" applyFill="1" applyFont="1" applyBorder="1"/>
    <xf numFmtId="0" fontId="3" fillId="5" borderId="0" xfId="0" applyFill="1" applyFont="1" applyAlignment="1">
      <alignment vertical="center" horizontal="left"/>
    </xf>
    <xf numFmtId="0" fontId="0" fillId="5" borderId="0" xfId="0" applyFill="1" applyAlignment="1">
      <alignment vertical="center" horizontal="left" indent="1"/>
    </xf>
    <xf numFmtId="164" fontId="0" fillId="0" borderId="0" xfId="0" applyNumberFormat="1" applyAlignment="1">
      <alignment vertical="center" horizontal="right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worksheet" Target="worksheets/sheet6.xml"></Relationship><Relationship Id="rId7" Type="http://schemas.openxmlformats.org/officeDocument/2006/relationships/worksheet" Target="worksheets/sheet7.xml"></Relationship><Relationship Id="rId8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I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</cols>
  <sheetData>
    <row r="1" ht="32" customHeight="1">
      <c r="A1" t="inlineStr" s="1">
        <is>
          <t xml:space="preserve">Plan assumptions</t>
        </is>
      </c>
    </row>
    <row r="2" ht="20" customHeight="1">
      <c r="A2" t="inlineStr" s="2">
        <is>
          <t xml:space="preserve">Assumptions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Price per month (USD, assumed)</t>
        </is>
      </c>
      <c r="C4" t="inlineStr" s="4">
        <is>
          <t xml:space="preserve">Stories included per month (assumed)</t>
        </is>
      </c>
      <c r="D4" t="inlineStr" s="4">
        <is>
          <t xml:space="preserve">Overage price per extra story (USD, assumed)</t>
        </is>
      </c>
      <c r="E4" t="inlineStr" s="4">
        <is>
          <t xml:space="preserve">Starting customers (assumed)</t>
        </is>
      </c>
      <c r="F4" t="inlineStr" s="4">
        <is>
          <t xml:space="preserve">New customers per month (assumed)</t>
        </is>
      </c>
      <c r="G4" t="inlineStr" s="4">
        <is>
          <t xml:space="preserve">Monthly churn (assumed)</t>
        </is>
      </c>
      <c r="H4" t="inlineStr" s="4">
        <is>
          <t xml:space="preserve">Stories used, share of included (assumed)</t>
        </is>
      </c>
      <c r="I4" t="inlineStr" s="4">
        <is>
          <t xml:space="preserve">Stories used per customer (derived)</t>
        </is>
      </c>
    </row>
    <row r="5">
      <c r="A5" t="inlineStr" s="5">
        <is>
          <t xml:space="preserve">Classroom</t>
        </is>
      </c>
      <c r="B5" s="6">
        <f>29</f>
        <v>29</v>
      </c>
      <c r="C5" s="7">
        <f>100</f>
        <v>100</v>
      </c>
      <c r="D5" s="6">
        <f>0.25</f>
        <v>0.25</v>
      </c>
      <c r="E5" s="7">
        <f>10</f>
        <v>10</v>
      </c>
      <c r="F5" s="7">
        <f>1</f>
        <v>1</v>
      </c>
      <c r="G5" s="8">
        <f>0.03</f>
        <v>0.03</v>
      </c>
      <c r="H5" s="9">
        <f>0.6</f>
        <v>0.6</v>
      </c>
      <c r="I5" s="10">
        <f>'Plan assumptions'!H5*'Plan assumptions'!C5</f>
        <v>60</v>
      </c>
    </row>
    <row r="6">
      <c r="A6" t="inlineStr" s="5">
        <is>
          <t xml:space="preserve">Household</t>
        </is>
      </c>
      <c r="B6" s="6">
        <f>6.99</f>
        <v>6.99</v>
      </c>
      <c r="C6" s="7">
        <f>12</f>
        <v>12</v>
      </c>
      <c r="D6" s="6">
        <f>0.6</f>
        <v>0.6</v>
      </c>
      <c r="E6" s="7">
        <f>40</f>
        <v>40</v>
      </c>
      <c r="F6" s="7">
        <f>8</f>
        <v>8</v>
      </c>
      <c r="G6" s="8">
        <f>0.08</f>
        <v>0.08</v>
      </c>
      <c r="H6" s="9">
        <f>0.6</f>
        <v>0.6</v>
      </c>
      <c r="I6" s="10">
        <f>'Plan assumptions'!H6*'Plan assumptions'!C6</f>
        <v>7.199999999999999</v>
      </c>
    </row>
  </sheetData>
  <mergeCells count="1">
    <mergeCell ref="A1:I1"/>
  </mergeCells>
</worksheet>
</file>

<file path=xl/worksheets/sheet2.xml><?xml version="1.0" encoding="utf-8"?>
<worksheet xmlns="http://schemas.openxmlformats.org/spreadsheetml/2006/main">
  <dimension ref="A1:E10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</cols>
  <sheetData>
    <row r="1" ht="32" customHeight="1">
      <c r="A1" t="inlineStr" s="1">
        <is>
          <t xml:space="preserve">Cost per story inputs</t>
        </is>
      </c>
    </row>
    <row r="2" ht="20" customHeight="1">
      <c r="A2" t="inlineStr" s="2">
        <is>
          <t xml:space="preserve">Assumptions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Cost input value</t>
        </is>
      </c>
      <c r="C4" t="inlineStr" s="4">
        <is>
          <t xml:space="preserve">Cost input unit</t>
        </is>
      </c>
      <c r="D4" t="inlineStr" s="4">
        <is>
          <t xml:space="preserve">Cost input status</t>
        </is>
      </c>
      <c r="E4" t="inlineStr" s="4">
        <is>
          <t xml:space="preserve">Cost input basis</t>
        </is>
      </c>
    </row>
    <row r="5">
      <c r="A5" t="inlineStr" s="5">
        <is>
          <t xml:space="preserve">Narration price per page</t>
        </is>
      </c>
      <c r="B5" s="11">
        <f>0.002</f>
        <v>0.002</v>
      </c>
      <c r="C5" t="str" s="12">
        <f>"USD per page"</f>
        <v>USD per page</v>
      </c>
      <c r="D5" t="str" s="12">
        <f>"assumed"</f>
        <v>assumed</v>
      </c>
      <c r="E5" t="str" s="12">
        <f>"Assumed narration cost per page. Not measured."</f>
        <v>Assumed narration cost per page. Not measured.</v>
      </c>
    </row>
    <row r="6">
      <c r="A6" t="inlineStr" s="13">
        <is>
          <t xml:space="preserve">Pages per story</t>
        </is>
      </c>
      <c r="B6" s="14">
        <f>8</f>
        <v>8</v>
      </c>
      <c r="C6" t="str" s="15">
        <f>"pages"</f>
        <v>pages</v>
      </c>
      <c r="D6" t="str" s="15">
        <f>"assumed"</f>
        <v>assumed</v>
      </c>
      <c r="E6" t="str" s="15">
        <f>"Product design: 8 pages per story (one picture and one narration clip per page at most)."</f>
        <v>Product design: 8 pages per story (one picture and one narration clip per page at most).</v>
      </c>
    </row>
    <row r="7">
      <c r="A7" t="inlineStr" s="13">
        <is>
          <t xml:space="preserve">Picture price each</t>
        </is>
      </c>
      <c r="B7" s="14">
        <f>0.04</f>
        <v>0.04</v>
      </c>
      <c r="C7" t="str" s="15">
        <f>"USD per picture"</f>
        <v>USD per picture</v>
      </c>
      <c r="D7" t="str" s="15">
        <f>"assumed"</f>
        <v>assumed</v>
      </c>
      <c r="E7" t="str" s="15">
        <f>"Assumed list price per generated picture (repo config). Not measured: neatlogs does not price image spans (it measured only about 0.04 USD for a whole illustrated story whose pictures we estimate at 0.32). The true figure is on the Google Cloud bill."</f>
        <v>Assumed list price per generated picture (repo config). Not measured: neatlogs does not price image spans (it measured only about 0.04 USD for a whole illustrated story whose pictures we estimate at 0.32). The true figure is on the Google Cloud bill.</v>
      </c>
    </row>
    <row r="8">
      <c r="A8" t="inlineStr" s="13">
        <is>
          <t xml:space="preserve">Sampled share of gated uplift</t>
        </is>
      </c>
      <c r="B8" s="14">
        <f>0.7</f>
        <v>0.7</v>
      </c>
      <c r="C8" t="str" s="15">
        <f>"share of (B1 minus B0)"</f>
        <v>share of (B1 minus B0)</v>
      </c>
      <c r="D8" t="str" s="15">
        <f>"assumed"</f>
        <v>assumed</v>
      </c>
      <c r="E8" t="str" s="15">
        <f>"Assumed: sampled verification pays 70% of the gated uplift. Not measured."</f>
        <v>Assumed: sampled verification pays 70% of the gated uplift. Not measured.</v>
      </c>
    </row>
    <row r="9">
      <c r="A9" t="inlineStr" s="13">
        <is>
          <t xml:space="preserve">Text and verification B0 ungated</t>
        </is>
      </c>
      <c r="B9" s="14">
        <f>0.0097</f>
        <v>0.0097</v>
      </c>
      <c r="C9" t="str" s="15">
        <f>"USD per story"</f>
        <v>USD per story</v>
      </c>
      <c r="D9" t="str" s="15">
        <f>"measured"</f>
        <v>measured</v>
      </c>
      <c r="E9" t="str" s="15">
        <f>"Measured by neatlogs: mean total cost of 28 sweep-2-p2 B0 traces read through the neatlogs API on 10 Oct 2026 (evidence/neatlogs/20261010-2010-IST-measured-vs-estimated-cost.json). Our token estimate was 0.0083. Text only; excludes pictures and narration."</f>
        <v>Measured by neatlogs: mean total cost of 28 sweep-2-p2 B0 traces read through the neatlogs API on 10 Oct 2026 (evidence/neatlogs/20261010-2010-IST-measured-vs-estimated-cost.json). Our token estimate was 0.0083. Text only; excludes pictures and narration.</v>
      </c>
    </row>
    <row r="10">
      <c r="A10" t="inlineStr" s="5">
        <is>
          <t xml:space="preserve">Text and verification B1 gated</t>
        </is>
      </c>
      <c r="B10" s="11">
        <f>0.0199</f>
        <v>0.0199</v>
      </c>
      <c r="C10" t="str" s="12">
        <f>"USD per story"</f>
        <v>USD per story</v>
      </c>
      <c r="D10" t="str" s="12">
        <f>"measured"</f>
        <v>measured</v>
      </c>
      <c r="E10" t="str" s="12">
        <f>"Measured by neatlogs: mean total cost of 28 sweep-2-p2 B1 traces (14 sweep-6 B1 traces gave 0.0201). Our token estimate was 0.0162, so it was about 20% low. Text and verification only; excludes pictures and narration; neatlogs does not price image or narration spans. A verified quiz after the story adds about 0.004 (token estimate, 26 stories, 11 Oct: 0.0204 against 0.0162 without a quiz); not yet measured by neatlogs and not included in this value."</f>
        <v>Measured by neatlogs: mean total cost of 28 sweep-2-p2 B1 traces (14 sweep-6 B1 traces gave 0.0201). Our token estimate was 0.0162, so it was about 20% low. Text and verification only; excludes pictures and narration; neatlogs does not price image or narration spans. A verified quiz after the story adds about 0.004 (token estimate, 26 stories, 11 Oct: 0.0204 against 0.0162 without a quiz); not yet measured by neatlogs and not included in this value.</v>
      </c>
    </row>
  </sheetData>
  <mergeCells count="1">
    <mergeCell ref="A1:E1"/>
  </mergeCells>
</worksheet>
</file>

<file path=xl/worksheets/sheet3.xml><?xml version="1.0" encoding="utf-8"?>
<worksheet xmlns="http://schemas.openxmlformats.org/spreadsheetml/2006/main">
  <dimension ref="A1:E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</cols>
  <sheetData>
    <row r="1" ht="32" customHeight="1">
      <c r="A1" t="inlineStr" s="1">
        <is>
          <t xml:space="preserve">Verification policy settings</t>
        </is>
      </c>
    </row>
    <row r="2" ht="20" customHeight="1">
      <c r="A2" t="inlineStr" s="2">
        <is>
          <t xml:space="preserve">Assumptions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Verification policy selected (1 = yes, assumed)</t>
        </is>
      </c>
      <c r="C4" t="inlineStr" s="4">
        <is>
          <t xml:space="preserve">Share of gated uplift paid (derived)</t>
        </is>
      </c>
      <c r="D4" t="inlineStr" s="4">
        <is>
          <t xml:space="preserve">Text and verification cost per story (USD, derived)</t>
        </is>
      </c>
      <c r="E4" t="inlineStr" s="4">
        <is>
          <t xml:space="preserve">Selected text and verification cost (USD, derived)</t>
        </is>
      </c>
    </row>
    <row r="5">
      <c r="A5" t="inlineStr" s="5">
        <is>
          <t xml:space="preserve">Sampled</t>
        </is>
      </c>
      <c r="B5" s="7">
        <f>0</f>
        <v>0</v>
      </c>
      <c r="C5" s="9">
        <f>IF(EXACT("Sampled","Verify all"),1,IF('Cost per story inputs'!B8="","",'Cost per story inputs'!B8))</f>
        <v>0.7</v>
      </c>
      <c r="D5" s="16">
        <f>'Cost per story inputs'!B9+'Verification policy settings'!C5*('Cost per story inputs'!B10-'Cost per story inputs'!B9)</f>
        <v>0.01684</v>
      </c>
      <c r="E5" s="16">
        <f>'Verification policy settings'!D5*'Verification policy settings'!B5</f>
        <v>0</v>
      </c>
    </row>
    <row r="6">
      <c r="A6" t="inlineStr" s="5">
        <is>
          <t xml:space="preserve">Verify all</t>
        </is>
      </c>
      <c r="B6" s="7">
        <f>1</f>
        <v>1</v>
      </c>
      <c r="C6" s="9">
        <f>IF(EXACT("Verify all","Verify all"),1,IF('Cost per story inputs'!B8="","",'Cost per story inputs'!B8))</f>
        <v>1</v>
      </c>
      <c r="D6" s="16">
        <f>'Cost per story inputs'!B9+'Verification policy settings'!C6*('Cost per story inputs'!B10-'Cost per story inputs'!B9)</f>
        <v>0.0199</v>
      </c>
      <c r="E6" s="16">
        <f>'Verification policy settings'!D6*'Verification policy settings'!B6</f>
        <v>0.0199</v>
      </c>
    </row>
  </sheetData>
  <mergeCells count="1">
    <mergeCell ref="A1:E1"/>
  </mergeCells>
</worksheet>
</file>

<file path=xl/worksheets/sheet4.xml><?xml version="1.0" encoding="utf-8"?>
<worksheet xmlns="http://schemas.openxmlformats.org/spreadsheetml/2006/main">
  <dimension ref="A1:E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</cols>
  <sheetData>
    <row r="1" ht="32" customHeight="1">
      <c r="A1" t="inlineStr" s="1">
        <is>
          <t xml:space="preserve">Illustration policy settings</t>
        </is>
      </c>
    </row>
    <row r="2" ht="20" customHeight="1">
      <c r="A2" t="inlineStr" s="2">
        <is>
          <t xml:space="preserve">Assumptions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Illustration policy selected (1 = yes, assumed)</t>
        </is>
      </c>
      <c r="C4" t="inlineStr" s="4">
        <is>
          <t xml:space="preserve">Pictures per story (policy)</t>
        </is>
      </c>
      <c r="D4" t="inlineStr" s="4">
        <is>
          <t xml:space="preserve">Picture and narration cost per story (USD, derived)</t>
        </is>
      </c>
      <c r="E4" t="inlineStr" s="4">
        <is>
          <t xml:space="preserve">Selected picture and narration cost (USD, derived)</t>
        </is>
      </c>
    </row>
    <row r="5">
      <c r="A5" t="inlineStr" s="5">
        <is>
          <t xml:space="preserve">Full (8 pictures)</t>
        </is>
      </c>
      <c r="B5" s="7">
        <f>0</f>
        <v>0</v>
      </c>
      <c r="C5" s="7">
        <f>8</f>
        <v>8</v>
      </c>
      <c r="D5" s="16">
        <f>'Illustration policy settings'!C5*'Cost per story inputs'!B7+'Cost per story inputs'!B5*'Cost per story inputs'!B6</f>
        <v>0.336</v>
      </c>
      <c r="E5" s="16">
        <f>'Illustration policy settings'!D5*'Illustration policy settings'!B5</f>
        <v>0</v>
      </c>
    </row>
    <row r="6">
      <c r="A6" t="inlineStr" s="13">
        <is>
          <t xml:space="preserve">Half (4 pictures)</t>
        </is>
      </c>
      <c r="B6" s="17">
        <f>1</f>
        <v>1</v>
      </c>
      <c r="C6" s="17">
        <f>4</f>
        <v>4</v>
      </c>
      <c r="D6" s="18">
        <f>'Illustration policy settings'!C6*'Cost per story inputs'!B7+'Cost per story inputs'!B5*'Cost per story inputs'!B6</f>
        <v>0.176</v>
      </c>
      <c r="E6" s="18">
        <f>'Illustration policy settings'!D6*'Illustration policy settings'!B6</f>
        <v>0.176</v>
      </c>
    </row>
    <row r="7">
      <c r="A7" t="inlineStr" s="5">
        <is>
          <t xml:space="preserve">Text only (0)</t>
        </is>
      </c>
      <c r="B7" s="7">
        <f>0</f>
        <v>0</v>
      </c>
      <c r="C7" s="7">
        <f>0</f>
        <v>0</v>
      </c>
      <c r="D7" s="16">
        <f>'Illustration policy settings'!C7*'Cost per story inputs'!B7+'Cost per story inputs'!B5*'Cost per story inputs'!B6</f>
        <v>0.016</v>
      </c>
      <c r="E7" s="16">
        <f>'Illustration policy settings'!D7*'Illustration policy settings'!B7</f>
        <v>0</v>
      </c>
    </row>
  </sheetData>
  <mergeCells count="1">
    <mergeCell ref="A1:E1"/>
  </mergeCells>
</worksheet>
</file>

<file path=xl/worksheets/sheet5.xml><?xml version="1.0" encoding="utf-8"?>
<worksheet xmlns="http://schemas.openxmlformats.org/spreadsheetml/2006/main">
  <dimension ref="A1:B14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Other costs and cash inputs</t>
        </is>
      </c>
    </row>
    <row r="2" ht="20" customHeight="1">
      <c r="A2" t="inlineStr" s="2">
        <is>
          <t xml:space="preserve">Assumptions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Hosting per month (USD, assumed)</t>
        </is>
      </c>
      <c r="B5" s="19">
        <f>25</f>
        <v>25</v>
      </c>
    </row>
    <row r="6">
      <c r="A6" t="inlineStr" s="13">
        <is>
          <t xml:space="preserve">Other fixed costs per month (USD, assumed)</t>
        </is>
      </c>
      <c r="B6" s="20">
        <f>50</f>
        <v>50</v>
      </c>
    </row>
    <row r="7">
      <c r="A7" t="inlineStr" s="13">
        <is>
          <t xml:space="preserve">Starting cash (USD, assumed)</t>
        </is>
      </c>
      <c r="B7" s="20">
        <f>2000</f>
        <v>2000</v>
      </c>
    </row>
    <row r="8">
      <c r="A8" t="inlineStr" s="13">
        <is>
          <t xml:space="preserve">neatlogs covered by hackathon credits (1 = yes, assumed)</t>
        </is>
      </c>
      <c r="B8" s="17">
        <f>1</f>
        <v>1</v>
      </c>
    </row>
    <row r="9">
      <c r="A9" t="inlineStr" s="13">
        <is>
          <t xml:space="preserve">Spans per story (assumed placeholder)</t>
        </is>
      </c>
      <c r="B9" s="17">
        <f>150</f>
        <v>150</v>
      </c>
    </row>
    <row r="10">
      <c r="A10" t="inlineStr" s="13">
        <is>
          <t xml:space="preserve">neatlogs Free plan span cap (published price, unverified for credits)</t>
        </is>
      </c>
      <c r="B10" s="17">
        <f>100000</f>
        <v>100000</v>
      </c>
    </row>
    <row r="11">
      <c r="A11" t="inlineStr" s="13">
        <is>
          <t xml:space="preserve">neatlogs Starter plan price per month (USD, published price)</t>
        </is>
      </c>
      <c r="B11" s="20">
        <f>99</f>
        <v>99</v>
      </c>
    </row>
    <row r="12">
      <c r="A12" t="inlineStr" s="13">
        <is>
          <t xml:space="preserve">neatlogs Starter plan included spans (published price)</t>
        </is>
      </c>
      <c r="B12" s="17">
        <f>250000</f>
        <v>250000</v>
      </c>
    </row>
    <row r="13">
      <c r="A13" t="inlineStr" s="13">
        <is>
          <t xml:space="preserve">neatlogs price per extra 100k spans (USD, published price)</t>
        </is>
      </c>
      <c r="B13" s="20">
        <f>10</f>
        <v>10</v>
      </c>
    </row>
    <row r="14">
      <c r="A14" t="inlineStr" s="5">
        <is>
          <t xml:space="preserve">Gross margin bar (ours, stated)</t>
        </is>
      </c>
      <c r="B14" s="9">
        <f>0.6</f>
        <v>0.6</v>
      </c>
    </row>
  </sheetData>
  <mergeCells count="1">
    <mergeCell ref="A1:B1"/>
  </mergeCells>
</worksheet>
</file>

<file path=xl/worksheets/sheet6.xml><?xml version="1.0" encoding="utf-8"?>
<worksheet xmlns="http://schemas.openxmlformats.org/spreadsheetml/2006/main">
  <dimension ref="A1:B30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Launch operating costs (assumed, for real children's use)</t>
        </is>
      </c>
    </row>
    <row r="2" ht="20" customHeight="1">
      <c r="A2" t="inlineStr" s="2">
        <is>
          <t xml:space="preserve">Assumptions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Support tickets per 100 households per month (assumed)</t>
        </is>
      </c>
      <c r="B5" s="12">
        <f>8</f>
        <v>8</v>
      </c>
    </row>
    <row r="6">
      <c r="A6" t="inlineStr" s="13">
        <is>
          <t xml:space="preserve">Minutes per support ticket (assumed)</t>
        </is>
      </c>
      <c r="B6" s="15">
        <f>12</f>
        <v>12</v>
      </c>
    </row>
    <row r="7">
      <c r="A7" t="inlineStr" s="13">
        <is>
          <t xml:space="preserve">Support hourly cost (USD, assumed)</t>
        </is>
      </c>
      <c r="B7" s="15">
        <f>25</f>
        <v>25</v>
      </c>
    </row>
    <row r="8">
      <c r="A8" t="inlineStr" s="13">
        <is>
          <t xml:space="preserve">Stories flagged for a human look per 100 stories (assumed)</t>
        </is>
      </c>
      <c r="B8" s="15">
        <f>2</f>
        <v>2</v>
      </c>
    </row>
    <row r="9">
      <c r="A9" t="inlineStr" s="13">
        <is>
          <t xml:space="preserve">Minutes per flagged story review (assumed)</t>
        </is>
      </c>
      <c r="B9" s="15">
        <f>10</f>
        <v>10</v>
      </c>
    </row>
    <row r="10">
      <c r="A10" t="inlineStr" s="13">
        <is>
          <t xml:space="preserve">Safety reviewer hourly cost (USD, assumed)</t>
        </is>
      </c>
      <c r="B10" s="15">
        <f>30</f>
        <v>30</v>
      </c>
    </row>
    <row r="11">
      <c r="A11" t="inlineStr" s="13">
        <is>
          <t xml:space="preserve">Stories per household per month (assumed)</t>
        </is>
      </c>
      <c r="B11" s="15">
        <f>12</f>
        <v>12</v>
      </c>
    </row>
    <row r="12">
      <c r="A12" t="inlineStr" s="13">
        <is>
          <t xml:space="preserve">Child-privacy compliance per year (USD, placeholder, not legal advice)</t>
        </is>
      </c>
      <c r="B12" s="15">
        <f>6000</f>
        <v>6000</v>
      </c>
    </row>
    <row r="13">
      <c r="A13" t="inlineStr" s="13">
        <is>
          <t xml:space="preserve">Households sharing the compliance cost (assumed)</t>
        </is>
      </c>
      <c r="B13" s="15">
        <f>500</f>
        <v>500</v>
      </c>
    </row>
    <row r="14">
      <c r="A14" t="inlineStr" s="13">
        <is>
          <t xml:space="preserve">Pictures per story when Pip chooses (from the picture budget in config)</t>
        </is>
      </c>
      <c r="B14" s="15">
        <f>4</f>
        <v>4</v>
      </c>
    </row>
    <row r="15">
      <c r="A15" t="inlineStr" s="13">
        <is>
          <t xml:space="preserve">One video clip, 4 s, Veo 3.1 Lite (USD, list price estimate)</t>
        </is>
      </c>
      <c r="B15" s="15">
        <f>0.2</f>
        <v>0.2</v>
      </c>
    </row>
    <row r="16">
      <c r="A16" t="inlineStr" s="13">
        <is>
          <t xml:space="preserve">Support cost per household per month (USD, derived)</t>
        </is>
      </c>
      <c r="B16" s="15">
        <f>'Launch operating costs (assumed'!B5/100*'Launch operating costs (assumed'!B6/60*'Launch operating costs (assumed'!B7</f>
        <v>0.4</v>
      </c>
    </row>
    <row r="17">
      <c r="A17" t="inlineStr" s="13">
        <is>
          <t xml:space="preserve">Safety review cost per story (USD, derived)</t>
        </is>
      </c>
      <c r="B17" s="15">
        <f>'Launch operating costs (assumed'!B8/100*'Launch operating costs (assumed'!B9/60*'Launch operating costs (assumed'!B10</f>
        <v>0.1</v>
      </c>
    </row>
    <row r="18">
      <c r="A18" t="inlineStr" s="13">
        <is>
          <t xml:space="preserve">Safety review cost per household per month (USD, derived)</t>
        </is>
      </c>
      <c r="B18" s="15">
        <f>'Launch operating costs (assumed'!B17*'Launch operating costs (assumed'!B11</f>
        <v>1.2000000000000002</v>
      </c>
    </row>
    <row r="19">
      <c r="A19" t="inlineStr" s="13">
        <is>
          <t xml:space="preserve">Compliance cost per household per month (USD, derived)</t>
        </is>
      </c>
      <c r="B19" s="15">
        <f>'Launch operating costs (assumed'!B12/12/'Launch operating costs (assumed'!B13</f>
        <v>1</v>
      </c>
    </row>
    <row r="20">
      <c r="A20" t="inlineStr" s="13">
        <is>
          <t xml:space="preserve">Launch operating cost per household per month (USD, derived)</t>
        </is>
      </c>
      <c r="B20" s="15">
        <f>'Launch operating costs (assumed'!B16+'Launch operating costs (assumed'!B18+'Launch operating costs (assumed'!B19</f>
        <v>2.6</v>
      </c>
    </row>
    <row r="21">
      <c r="A21" t="inlineStr" s="13">
        <is>
          <t xml:space="preserve">Picture cost per story when Pip chooses (USD, estimate)</t>
        </is>
      </c>
      <c r="B21" s="15">
        <f>'Launch operating costs (assumed'!B14*0.04</f>
        <v>0.16</v>
      </c>
    </row>
    <row r="22">
      <c r="A22" t="inlineStr" s="13">
        <is>
          <t xml:space="preserve">Video clip per story with one clip and a 1.4 retry allowance (USD, estimate)</t>
        </is>
      </c>
      <c r="B22" s="15">
        <f>'Launch operating costs (assumed'!B15*1.4</f>
        <v>0.27999999999999997</v>
      </c>
    </row>
    <row r="23">
      <c r="A23" t="inlineStr" s="13">
        <is>
          <t xml:space="preserve">Launch operating cost as a share of the Household price (derived)</t>
        </is>
      </c>
      <c r="B23" s="15">
        <f>'Launch operating costs (assumed'!B20/'Plan assumptions'!B6</f>
        <v>0.3719599427753934</v>
      </c>
    </row>
    <row r="24">
      <c r="A24" t="inlineStr" s="13">
        <is>
          <t xml:space="preserve">Video clips per story (0 = deterministic motion only, as today)</t>
        </is>
      </c>
      <c r="B24" s="15">
        <f>0</f>
        <v>0</v>
      </c>
    </row>
    <row r="25">
      <c r="A25" t="inlineStr" s="13">
        <is>
          <t xml:space="preserve">Seconds per video clip (assumed)</t>
        </is>
      </c>
      <c r="B25" s="15">
        <f>4</f>
        <v>4</v>
      </c>
    </row>
    <row r="26">
      <c r="A26" t="inlineStr" s="13">
        <is>
          <t xml:space="preserve">Video model price per second (USD, list price estimate)</t>
        </is>
      </c>
      <c r="B26" s="15">
        <f>0.05</f>
        <v>0.05</v>
      </c>
    </row>
    <row r="27">
      <c r="A27" t="inlineStr" s="13">
        <is>
          <t xml:space="preserve">Video retry allowance (x clips made per clip kept, assumed)</t>
        </is>
      </c>
      <c r="B27" s="15">
        <f>1.4</f>
        <v>1.4</v>
      </c>
    </row>
    <row r="28">
      <c r="A28" t="inlineStr" s="13">
        <is>
          <t xml:space="preserve">Clip check cost per clip (USD, two judges, estimate)</t>
        </is>
      </c>
      <c r="B28" s="15">
        <f>0.02</f>
        <v>0.02</v>
      </c>
    </row>
    <row r="29">
      <c r="A29" t="inlineStr" s="13">
        <is>
          <t xml:space="preserve">Video cost per story (USD, derived)</t>
        </is>
      </c>
      <c r="B29" s="15">
        <f>'Launch operating costs (assumed'!B24*('Launch operating costs (assumed'!B25*'Launch operating costs (assumed'!B26*'Launch operating costs (assumed'!B27+'Launch operating costs (assumed'!B28)</f>
        <v>0</v>
      </c>
    </row>
    <row r="30">
      <c r="A30" t="inlineStr" s="5">
        <is>
          <t xml:space="preserve">Video add-on price per story that keeps the margin bar on the video alone (USD, derived)</t>
        </is>
      </c>
      <c r="B30" s="12">
        <f>'Launch operating costs (assumed'!B29/(1-'Other costs and cash inputs'!B14)</f>
        <v>0</v>
      </c>
    </row>
  </sheetData>
  <mergeCells count="1">
    <mergeCell ref="A1:B1"/>
  </mergeCells>
</worksheet>
</file>

<file path=xl/worksheets/sheet7.xml><?xml version="1.0" encoding="utf-8"?>
<worksheet xmlns="http://schemas.openxmlformats.org/spreadsheetml/2006/main">
  <dimension ref="A1:C11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21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Value</t>
        </is>
      </c>
    </row>
    <row r="6">
      <c r="A6" t="inlineStr" s="22">
        <is>
          <t xml:space="preserve">Price per month (USD, assumed)</t>
        </is>
      </c>
      <c r="B6" s="6">
        <v>0</v>
      </c>
    </row>
    <row r="7" outlineLevel="1">
      <c r="A7" t="inlineStr" s="23">
        <is>
          <t xml:space="preserve">Price per month (USD, assumed) &gt; Classroom</t>
        </is>
      </c>
      <c r="B7" s="24">
        <f>'Plan assumptions'!B5</f>
        <v>29</v>
      </c>
    </row>
    <row r="8" outlineLevel="1">
      <c r="A8" t="inlineStr" s="23">
        <is>
          <t xml:space="preserve">Price per month (USD, assumed) &gt; Household</t>
        </is>
      </c>
      <c r="B8" s="24">
        <f>'Plan assumptions'!B6</f>
        <v>6.99</v>
      </c>
    </row>
    <row r="10">
      <c r="A10" t="inlineStr" s="21">
        <is>
          <t xml:space="preserve">Dimensions</t>
        </is>
      </c>
    </row>
    <row r="11">
      <c r="A11" t="inlineStr" s="22">
        <is>
          <t xml:space="preserve">Plan</t>
        </is>
      </c>
      <c r="B11" t="inlineStr" s="25">
        <is>
          <t xml:space="preserve">Classroom</t>
        </is>
      </c>
      <c r="C11" t="inlineStr" s="25">
        <is>
          <t xml:space="preserve">Household</t>
        </is>
      </c>
    </row>
  </sheetData>
  <mergeCells count="2">
    <mergeCell ref="A1:B1"/>
    <mergeCell ref="A2:B2"/>
  </mergeCells>
</worksheet>
</file>